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Y\Desktop\"/>
    </mc:Choice>
  </mc:AlternateContent>
  <xr:revisionPtr revIDLastSave="0" documentId="8_{E7A4F824-646C-436F-9294-0529D135FD65}" xr6:coauthVersionLast="47" xr6:coauthVersionMax="47" xr10:uidLastSave="{00000000-0000-0000-0000-000000000000}"/>
  <bookViews>
    <workbookView xWindow="-110" yWindow="-110" windowWidth="25820" windowHeight="15500" tabRatio="762" activeTab="2" xr2:uid="{A2905FC6-86A1-4261-A8E0-A2787D6CF160}"/>
  </bookViews>
  <sheets>
    <sheet name="Cover-Page" sheetId="31" r:id="rId1"/>
    <sheet name="IO Summary" sheetId="4" r:id="rId2"/>
    <sheet name="TF" sheetId="19" r:id="rId3"/>
    <sheet name="PUMPS" sheetId="26" r:id="rId4"/>
    <sheet name="JETTY" sheetId="24" r:id="rId5"/>
    <sheet name="TLB" sheetId="25" r:id="rId6"/>
    <sheet name="FIRE F" sheetId="27" state="hidden" r:id="rId7"/>
    <sheet name="HOT WATER" sheetId="28" r:id="rId8"/>
    <sheet name="POTABLE WATER" sheetId="29" r:id="rId9"/>
    <sheet name="PLANT AIR" sheetId="30" r:id="rId10"/>
    <sheet name="TEMPLATE" sheetId="11" state="hidden" r:id="rId11"/>
  </sheets>
  <externalReferences>
    <externalReference r:id="rId12"/>
    <externalReference r:id="rId13"/>
  </externalReferences>
  <definedNames>
    <definedName name="_xlnm._FilterDatabase" localSheetId="6" hidden="1">'FIRE F'!$A$3:$Z$37</definedName>
    <definedName name="_xlnm._FilterDatabase" localSheetId="7" hidden="1">'HOT WATER'!$A$3:$Z$58</definedName>
    <definedName name="_xlnm._FilterDatabase" localSheetId="4" hidden="1">JETTY!$A$3:$Z$39</definedName>
    <definedName name="_xlnm._FilterDatabase" localSheetId="9" hidden="1">'PLANT AIR'!$A$3:$Z$40</definedName>
    <definedName name="_xlnm._FilterDatabase" localSheetId="8" hidden="1">'POTABLE WATER'!$A$3:$Z$44</definedName>
    <definedName name="_xlnm._FilterDatabase" localSheetId="3" hidden="1">PUMPS!$A$3:$Z$91</definedName>
    <definedName name="_xlnm._FilterDatabase" localSheetId="2" hidden="1">TF!$A$3:$Z$209</definedName>
    <definedName name="_xlnm._FilterDatabase" localSheetId="5" hidden="1">TLB!$A$3:$Z$139</definedName>
    <definedName name="_LOG1">[1]inst!#REF!</definedName>
    <definedName name="_LOG10">[1]inst!#REF!</definedName>
    <definedName name="_LOG11">[1]inst!#REF!</definedName>
    <definedName name="_LOG2">[1]inst!#REF!</definedName>
    <definedName name="_LOG3">[1]inst!#REF!</definedName>
    <definedName name="_LOG4">[1]inst!#REF!</definedName>
    <definedName name="_LOG5">[1]inst!#REF!</definedName>
    <definedName name="_LOG6">[1]inst!#REF!</definedName>
    <definedName name="_LOG7">[1]inst!#REF!</definedName>
    <definedName name="_LOG8">[1]inst!#REF!</definedName>
    <definedName name="_LOG9">[1]inst!#REF!</definedName>
    <definedName name="A">'[2]Gland Data'!$G$5</definedName>
    <definedName name="ACT">[1]inst!#REF!</definedName>
    <definedName name="AREA">[1]inst!#REF!</definedName>
    <definedName name="B">'[2]Gland Data'!$G$26</definedName>
    <definedName name="BQ">[1]inst!#REF!</definedName>
    <definedName name="contingency_1">#REF!</definedName>
    <definedName name="disc">[1]inst!#REF!</definedName>
    <definedName name="DWGN">[1]inst!#REF!</definedName>
    <definedName name="formrange1">#REF!</definedName>
    <definedName name="JETTY">[1]inst!#REF!</definedName>
    <definedName name="MCCB">'[2]Cable Data'!#REF!</definedName>
    <definedName name="MV">[1]inst!#REF!</definedName>
    <definedName name="P" localSheetId="0">#REF!</definedName>
    <definedName name="P">#REF!</definedName>
    <definedName name="P0" localSheetId="0">#REF!</definedName>
    <definedName name="P0">#REF!</definedName>
    <definedName name="PCT">[1]inst!#REF!</definedName>
    <definedName name="PLFA">[1]inst!#REF!</definedName>
    <definedName name="PLFS">[1]inst!#REF!</definedName>
    <definedName name="PLST">[1]inst!#REF!</definedName>
    <definedName name="_xlnm.Print_Area" localSheetId="6">'FIRE F'!$A$1:$X$9</definedName>
    <definedName name="_xlnm.Print_Area" localSheetId="7">'HOT WATER'!$A$1:$X$30</definedName>
    <definedName name="_xlnm.Print_Area" localSheetId="4">JETTY!$A$1:$X$11</definedName>
    <definedName name="_xlnm.Print_Area" localSheetId="9">'PLANT AIR'!$A$1:$X$12</definedName>
    <definedName name="_xlnm.Print_Area" localSheetId="8">'POTABLE WATER'!$A$1:$X$16</definedName>
    <definedName name="_xlnm.Print_Area" localSheetId="3">PUMPS!$A$1:$X$63</definedName>
    <definedName name="_xlnm.Print_Area" localSheetId="10">TEMPLATE!$A$1:$W$75</definedName>
    <definedName name="_xlnm.Print_Area" localSheetId="2">TF!$A$1:$X$181</definedName>
    <definedName name="_xlnm.Print_Area" localSheetId="5">TLB!$A$1:$X$111</definedName>
    <definedName name="Print_Area_MI" localSheetId="0">#REF!</definedName>
    <definedName name="Print_Area_MI">#REF!</definedName>
    <definedName name="_xlnm.Print_Titles" localSheetId="6">'FIRE F'!$1:$3</definedName>
    <definedName name="_xlnm.Print_Titles" localSheetId="7">'HOT WATER'!$1:$3</definedName>
    <definedName name="_xlnm.Print_Titles" localSheetId="4">JETTY!$1:$3</definedName>
    <definedName name="_xlnm.Print_Titles" localSheetId="9">'PLANT AIR'!$1:$3</definedName>
    <definedName name="_xlnm.Print_Titles" localSheetId="8">'POTABLE WATER'!$1:$3</definedName>
    <definedName name="_xlnm.Print_Titles" localSheetId="3">PUMPS!$1:$3</definedName>
    <definedName name="_xlnm.Print_Titles" localSheetId="10">TEMPLATE!$1:$3</definedName>
    <definedName name="_xlnm.Print_Titles" localSheetId="2">TF!$1:$3</definedName>
    <definedName name="_xlnm.Print_Titles" localSheetId="5">TLB!$1:$3</definedName>
    <definedName name="QTY">[1]inst!#REF!</definedName>
    <definedName name="RES">[1]inst!#REF!</definedName>
    <definedName name="sht">#REF!</definedName>
    <definedName name="SS">[1]inst!#REF!</definedName>
    <definedName name="TITLE">[1]inst!#REF!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81" i="19" l="1"/>
  <c r="A89" i="25" l="1"/>
  <c r="A83" i="25"/>
  <c r="A77" i="25"/>
  <c r="A71" i="25"/>
  <c r="A65" i="25"/>
  <c r="A59" i="25"/>
  <c r="A53" i="25"/>
  <c r="A47" i="25"/>
  <c r="A8" i="24"/>
  <c r="A177" i="19"/>
  <c r="A170" i="19"/>
  <c r="A164" i="19"/>
  <c r="A158" i="19"/>
  <c r="A151" i="19"/>
  <c r="A145" i="19"/>
  <c r="A139" i="19"/>
  <c r="A132" i="19"/>
  <c r="A126" i="19"/>
  <c r="A120" i="19"/>
  <c r="A113" i="19"/>
  <c r="A107" i="19"/>
  <c r="A101" i="19"/>
  <c r="A94" i="19"/>
  <c r="A88" i="19"/>
  <c r="A82" i="19"/>
  <c r="A75" i="19"/>
  <c r="A69" i="19"/>
  <c r="A63" i="19"/>
  <c r="A56" i="19"/>
  <c r="A50" i="19"/>
  <c r="A44" i="19"/>
  <c r="A37" i="19"/>
  <c r="A31" i="19"/>
  <c r="A61" i="26"/>
  <c r="A62" i="26"/>
  <c r="A60" i="26"/>
  <c r="A59" i="26"/>
  <c r="A57" i="26"/>
  <c r="A56" i="26"/>
  <c r="A52" i="26"/>
  <c r="A51" i="26"/>
  <c r="A47" i="26"/>
  <c r="A46" i="26"/>
  <c r="A42" i="26"/>
  <c r="A41" i="26"/>
  <c r="A37" i="26"/>
  <c r="A36" i="26"/>
  <c r="A32" i="26"/>
  <c r="A31" i="26"/>
  <c r="A27" i="26"/>
  <c r="A5" i="4"/>
  <c r="A6" i="4"/>
  <c r="A7" i="4" s="1"/>
  <c r="A8" i="4" s="1"/>
  <c r="A9" i="4" s="1"/>
  <c r="A10" i="4" s="1"/>
  <c r="A11" i="4" s="1"/>
  <c r="A4" i="4"/>
  <c r="A19" i="19"/>
  <c r="A18" i="19"/>
  <c r="A17" i="19"/>
  <c r="A16" i="19"/>
  <c r="A15" i="19"/>
  <c r="A14" i="19"/>
  <c r="A13" i="19"/>
  <c r="A12" i="19"/>
  <c r="D9" i="4"/>
  <c r="E9" i="4"/>
  <c r="F9" i="4"/>
  <c r="G9" i="4"/>
  <c r="C9" i="4"/>
  <c r="D8" i="4"/>
  <c r="E8" i="4"/>
  <c r="F8" i="4"/>
  <c r="G8" i="4"/>
  <c r="C8" i="4"/>
  <c r="D4" i="4"/>
  <c r="E4" i="4"/>
  <c r="F4" i="4"/>
  <c r="G4" i="4"/>
  <c r="C4" i="4"/>
  <c r="D6" i="4"/>
  <c r="E6" i="4"/>
  <c r="F6" i="4"/>
  <c r="G6" i="4"/>
  <c r="C6" i="4"/>
  <c r="D5" i="4"/>
  <c r="E5" i="4"/>
  <c r="F5" i="4"/>
  <c r="G5" i="4"/>
  <c r="C5" i="4"/>
  <c r="D3" i="4"/>
  <c r="E3" i="4"/>
  <c r="F3" i="4"/>
  <c r="G3" i="4"/>
  <c r="C3" i="4"/>
  <c r="D7" i="4"/>
  <c r="E7" i="4"/>
  <c r="F7" i="4"/>
  <c r="G7" i="4"/>
  <c r="C7" i="4"/>
  <c r="A29" i="28"/>
  <c r="A28" i="28"/>
  <c r="A27" i="28"/>
  <c r="A26" i="28"/>
  <c r="A25" i="28"/>
  <c r="A24" i="28"/>
  <c r="A23" i="28"/>
  <c r="A22" i="28"/>
  <c r="A21" i="28"/>
  <c r="A20" i="28"/>
  <c r="A19" i="28"/>
  <c r="A18" i="28"/>
  <c r="C75" i="11"/>
  <c r="C74" i="11"/>
  <c r="A17" i="28"/>
  <c r="A16" i="28"/>
  <c r="A15" i="28"/>
  <c r="A14" i="28"/>
  <c r="C73" i="11"/>
  <c r="C72" i="11"/>
  <c r="A13" i="28"/>
  <c r="A12" i="28"/>
  <c r="A11" i="28"/>
  <c r="A10" i="28"/>
  <c r="C10" i="4" l="1"/>
  <c r="G10" i="4"/>
  <c r="D10" i="4"/>
  <c r="F10" i="4"/>
  <c r="E10" i="4"/>
  <c r="A75" i="11"/>
  <c r="A74" i="11"/>
  <c r="H73" i="11"/>
  <c r="H74" i="11" s="1"/>
  <c r="G73" i="11"/>
  <c r="G74" i="11" s="1"/>
  <c r="A73" i="11"/>
  <c r="H72" i="11"/>
  <c r="H75" i="11" s="1"/>
  <c r="G72" i="11"/>
  <c r="G75" i="11" s="1"/>
  <c r="A72" i="11"/>
  <c r="H71" i="11"/>
  <c r="F71" i="11"/>
  <c r="F72" i="11" s="1"/>
  <c r="D71" i="11"/>
  <c r="D72" i="11" s="1"/>
  <c r="D73" i="11" s="1"/>
  <c r="D74" i="11" s="1"/>
  <c r="A71" i="11"/>
  <c r="C70" i="11"/>
  <c r="A70" i="11"/>
  <c r="C69" i="11"/>
  <c r="A69" i="11"/>
  <c r="G68" i="11"/>
  <c r="G69" i="11" s="1"/>
  <c r="G70" i="11" s="1"/>
  <c r="C68" i="11"/>
  <c r="A68" i="11"/>
  <c r="G67" i="11"/>
  <c r="C67" i="11"/>
  <c r="A67" i="11"/>
  <c r="G66" i="11"/>
  <c r="C66" i="11"/>
  <c r="A66" i="11"/>
  <c r="H65" i="11"/>
  <c r="H66" i="11" s="1"/>
  <c r="H67" i="11" s="1"/>
  <c r="H68" i="11" s="1"/>
  <c r="H69" i="11" s="1"/>
  <c r="H70" i="11" s="1"/>
  <c r="F65" i="11"/>
  <c r="F66" i="11" s="1"/>
  <c r="F67" i="11" s="1"/>
  <c r="F68" i="11" s="1"/>
  <c r="F69" i="11" s="1"/>
  <c r="F70" i="11" s="1"/>
  <c r="D65" i="11"/>
  <c r="D67" i="11" s="1"/>
  <c r="A65" i="11"/>
  <c r="A58" i="26"/>
  <c r="A55" i="26"/>
  <c r="A54" i="26"/>
  <c r="A53" i="26"/>
  <c r="A50" i="26"/>
  <c r="A49" i="26"/>
  <c r="A48" i="26"/>
  <c r="A45" i="26"/>
  <c r="A44" i="26"/>
  <c r="A43" i="26"/>
  <c r="A40" i="26"/>
  <c r="A39" i="26"/>
  <c r="A38" i="26"/>
  <c r="A35" i="26"/>
  <c r="A34" i="26"/>
  <c r="A33" i="26"/>
  <c r="A30" i="26"/>
  <c r="A15" i="29"/>
  <c r="A14" i="29"/>
  <c r="A13" i="29"/>
  <c r="A12" i="29"/>
  <c r="A8" i="29"/>
  <c r="A9" i="29"/>
  <c r="A10" i="29"/>
  <c r="A11" i="29"/>
  <c r="F75" i="11" l="1"/>
  <c r="F73" i="11"/>
  <c r="F74" i="11" s="1"/>
  <c r="D75" i="11"/>
  <c r="D69" i="11"/>
  <c r="D68" i="11"/>
  <c r="D66" i="11"/>
  <c r="D70" i="11"/>
  <c r="A11" i="30" l="1"/>
  <c r="A10" i="30"/>
  <c r="A9" i="30"/>
  <c r="A8" i="30"/>
  <c r="A7" i="30"/>
  <c r="A6" i="30"/>
  <c r="A5" i="30"/>
  <c r="A4" i="30"/>
  <c r="A7" i="29"/>
  <c r="A6" i="29"/>
  <c r="A5" i="29"/>
  <c r="A4" i="29"/>
  <c r="A9" i="28"/>
  <c r="A8" i="28"/>
  <c r="A7" i="28"/>
  <c r="A6" i="28"/>
  <c r="A5" i="28"/>
  <c r="A4" i="28"/>
  <c r="A8" i="27"/>
  <c r="A7" i="27"/>
  <c r="A6" i="27"/>
  <c r="A5" i="27"/>
  <c r="A4" i="27"/>
  <c r="A29" i="26"/>
  <c r="A28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E64" i="11"/>
  <c r="A64" i="11"/>
  <c r="E63" i="11"/>
  <c r="A63" i="11"/>
  <c r="E62" i="11"/>
  <c r="D62" i="11"/>
  <c r="D63" i="11" s="1"/>
  <c r="D64" i="11" s="1"/>
  <c r="A62" i="11"/>
  <c r="A61" i="11"/>
  <c r="E60" i="11"/>
  <c r="A60" i="11"/>
  <c r="G59" i="11"/>
  <c r="G60" i="11" s="1"/>
  <c r="G61" i="11" s="1"/>
  <c r="G62" i="11" s="1"/>
  <c r="G63" i="11" s="1"/>
  <c r="G64" i="11" s="1"/>
  <c r="F59" i="11"/>
  <c r="F60" i="11" s="1"/>
  <c r="F61" i="11" s="1"/>
  <c r="F62" i="11" s="1"/>
  <c r="F63" i="11" s="1"/>
  <c r="F64" i="11" s="1"/>
  <c r="E59" i="11"/>
  <c r="D59" i="11"/>
  <c r="D60" i="11" s="1"/>
  <c r="D61" i="11" s="1"/>
  <c r="C59" i="11"/>
  <c r="C60" i="11" s="1"/>
  <c r="C61" i="11" s="1"/>
  <c r="C62" i="11" s="1"/>
  <c r="C63" i="11" s="1"/>
  <c r="C64" i="11" s="1"/>
  <c r="A59" i="11"/>
  <c r="A58" i="11"/>
  <c r="E57" i="11"/>
  <c r="A57" i="11"/>
  <c r="G56" i="11"/>
  <c r="G57" i="11" s="1"/>
  <c r="F56" i="11"/>
  <c r="F57" i="11" s="1"/>
  <c r="E56" i="11"/>
  <c r="D56" i="11"/>
  <c r="D57" i="11" s="1"/>
  <c r="C56" i="11"/>
  <c r="C57" i="11" s="1"/>
  <c r="A56" i="11"/>
  <c r="A55" i="11"/>
  <c r="A91" i="25"/>
  <c r="A90" i="25"/>
  <c r="A88" i="25"/>
  <c r="A87" i="25"/>
  <c r="A86" i="25"/>
  <c r="A85" i="25"/>
  <c r="A84" i="25"/>
  <c r="A82" i="25"/>
  <c r="A81" i="25"/>
  <c r="A80" i="25"/>
  <c r="A79" i="25"/>
  <c r="A78" i="25"/>
  <c r="A76" i="25"/>
  <c r="A75" i="25"/>
  <c r="A74" i="25"/>
  <c r="A73" i="25"/>
  <c r="A72" i="25"/>
  <c r="A70" i="25"/>
  <c r="A69" i="25"/>
  <c r="A68" i="25"/>
  <c r="A67" i="25"/>
  <c r="A66" i="25"/>
  <c r="A64" i="25"/>
  <c r="A63" i="25"/>
  <c r="A62" i="25"/>
  <c r="A61" i="25"/>
  <c r="A60" i="25"/>
  <c r="A58" i="25"/>
  <c r="A57" i="25"/>
  <c r="A56" i="25"/>
  <c r="A55" i="25"/>
  <c r="A54" i="25"/>
  <c r="A52" i="25"/>
  <c r="A51" i="25"/>
  <c r="A50" i="25"/>
  <c r="A48" i="25" l="1"/>
  <c r="A49" i="25"/>
  <c r="A46" i="25"/>
  <c r="A45" i="25"/>
  <c r="A44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2" i="25"/>
  <c r="A13" i="25"/>
  <c r="A108" i="25" l="1"/>
  <c r="A107" i="25"/>
  <c r="A106" i="25"/>
  <c r="A105" i="25"/>
  <c r="A104" i="25"/>
  <c r="A103" i="25"/>
  <c r="A102" i="25"/>
  <c r="A101" i="25"/>
  <c r="A100" i="25"/>
  <c r="A99" i="25"/>
  <c r="A98" i="25"/>
  <c r="A97" i="25"/>
  <c r="A96" i="25"/>
  <c r="A95" i="25"/>
  <c r="A94" i="25"/>
  <c r="A93" i="25"/>
  <c r="A92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11" i="25"/>
  <c r="A10" i="25"/>
  <c r="A9" i="25"/>
  <c r="A8" i="25"/>
  <c r="A7" i="25"/>
  <c r="A6" i="25"/>
  <c r="A5" i="25"/>
  <c r="A4" i="25"/>
  <c r="A5" i="19"/>
  <c r="A6" i="19"/>
  <c r="A7" i="19"/>
  <c r="A8" i="19"/>
  <c r="A9" i="19"/>
  <c r="A10" i="19"/>
  <c r="A11" i="19"/>
  <c r="A20" i="19"/>
  <c r="A21" i="19"/>
  <c r="A22" i="19"/>
  <c r="A23" i="19"/>
  <c r="A24" i="19"/>
  <c r="A25" i="19"/>
  <c r="A26" i="19"/>
  <c r="A27" i="19"/>
  <c r="A28" i="19"/>
  <c r="A29" i="19"/>
  <c r="A30" i="19"/>
  <c r="A32" i="19"/>
  <c r="A33" i="19"/>
  <c r="A34" i="19"/>
  <c r="A35" i="19"/>
  <c r="A36" i="19"/>
  <c r="A38" i="19"/>
  <c r="A39" i="19"/>
  <c r="A40" i="19"/>
  <c r="A41" i="19"/>
  <c r="A42" i="19"/>
  <c r="A43" i="19"/>
  <c r="A45" i="19"/>
  <c r="A46" i="19"/>
  <c r="A47" i="19"/>
  <c r="A48" i="19"/>
  <c r="A49" i="19"/>
  <c r="A51" i="19"/>
  <c r="A52" i="19"/>
  <c r="A53" i="19"/>
  <c r="A54" i="19"/>
  <c r="A55" i="19"/>
  <c r="A57" i="19"/>
  <c r="A58" i="19"/>
  <c r="A59" i="19"/>
  <c r="A60" i="19"/>
  <c r="A61" i="19"/>
  <c r="A62" i="19"/>
  <c r="A64" i="19"/>
  <c r="A65" i="19"/>
  <c r="A66" i="19"/>
  <c r="A67" i="19"/>
  <c r="A68" i="19"/>
  <c r="A70" i="19"/>
  <c r="A71" i="19"/>
  <c r="A72" i="19"/>
  <c r="A73" i="19"/>
  <c r="A74" i="19"/>
  <c r="A76" i="19"/>
  <c r="A77" i="19"/>
  <c r="A78" i="19"/>
  <c r="A79" i="19"/>
  <c r="A80" i="19"/>
  <c r="A81" i="19"/>
  <c r="A83" i="19"/>
  <c r="A84" i="19"/>
  <c r="A85" i="19"/>
  <c r="A86" i="19"/>
  <c r="A87" i="19"/>
  <c r="A89" i="19"/>
  <c r="A90" i="19"/>
  <c r="A91" i="19"/>
  <c r="A92" i="19"/>
  <c r="A93" i="19"/>
  <c r="A95" i="19"/>
  <c r="A96" i="19"/>
  <c r="A97" i="19"/>
  <c r="A98" i="19"/>
  <c r="A99" i="19"/>
  <c r="A100" i="19"/>
  <c r="A102" i="19"/>
  <c r="A103" i="19"/>
  <c r="A104" i="19"/>
  <c r="A105" i="19"/>
  <c r="A106" i="19"/>
  <c r="A108" i="19"/>
  <c r="A109" i="19"/>
  <c r="A110" i="19"/>
  <c r="A111" i="19"/>
  <c r="A112" i="19"/>
  <c r="A114" i="19"/>
  <c r="A115" i="19"/>
  <c r="A116" i="19"/>
  <c r="A117" i="19"/>
  <c r="A118" i="19"/>
  <c r="A119" i="19"/>
  <c r="A121" i="19"/>
  <c r="A122" i="19"/>
  <c r="A123" i="19"/>
  <c r="A124" i="19"/>
  <c r="A125" i="19"/>
  <c r="A127" i="19"/>
  <c r="A128" i="19"/>
  <c r="A129" i="19"/>
  <c r="A130" i="19"/>
  <c r="A131" i="19"/>
  <c r="A133" i="19"/>
  <c r="A134" i="19"/>
  <c r="A135" i="19"/>
  <c r="A136" i="19"/>
  <c r="A137" i="19"/>
  <c r="A138" i="19"/>
  <c r="A140" i="19"/>
  <c r="A141" i="19"/>
  <c r="A142" i="19"/>
  <c r="A143" i="19"/>
  <c r="A144" i="19"/>
  <c r="A146" i="19"/>
  <c r="A147" i="19"/>
  <c r="A148" i="19"/>
  <c r="A149" i="19"/>
  <c r="A150" i="19"/>
  <c r="A152" i="19"/>
  <c r="A153" i="19"/>
  <c r="A154" i="19"/>
  <c r="A155" i="19"/>
  <c r="A156" i="19"/>
  <c r="A157" i="19"/>
  <c r="A159" i="19"/>
  <c r="A160" i="19"/>
  <c r="A161" i="19"/>
  <c r="A162" i="19"/>
  <c r="A163" i="19"/>
  <c r="A165" i="19"/>
  <c r="A166" i="19"/>
  <c r="A167" i="19"/>
  <c r="A168" i="19"/>
  <c r="A169" i="19"/>
  <c r="A171" i="19"/>
  <c r="A172" i="19"/>
  <c r="A173" i="19"/>
  <c r="A174" i="19"/>
  <c r="A175" i="19"/>
  <c r="A176" i="19"/>
  <c r="A178" i="19"/>
  <c r="A179" i="19"/>
  <c r="A4" i="19"/>
  <c r="A5" i="24"/>
  <c r="A6" i="24"/>
  <c r="A7" i="24"/>
  <c r="A9" i="24"/>
  <c r="A10" i="24"/>
  <c r="A4" i="24"/>
  <c r="A5" i="11" l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7" i="11" s="1"/>
  <c r="C11" i="4" l="1"/>
  <c r="D11" i="4"/>
  <c r="F11" i="4"/>
  <c r="E11" i="4"/>
  <c r="G11" i="4"/>
  <c r="A18" i="1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30" i="11" l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3" i="11" l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</calcChain>
</file>

<file path=xl/sharedStrings.xml><?xml version="1.0" encoding="utf-8"?>
<sst xmlns="http://schemas.openxmlformats.org/spreadsheetml/2006/main" count="5602" uniqueCount="1350">
  <si>
    <t>S/N</t>
    <phoneticPr fontId="2" type="noConversion"/>
  </si>
  <si>
    <t>Revision No.</t>
    <phoneticPr fontId="2" type="noConversion"/>
  </si>
  <si>
    <t>Instrument Tag No.</t>
  </si>
  <si>
    <t>Signal Description</t>
  </si>
  <si>
    <t>Equipment</t>
  </si>
  <si>
    <t>P &amp; ID Dwg No.</t>
    <phoneticPr fontId="2" type="noConversion"/>
  </si>
  <si>
    <t>P&amp;ID Revision No.</t>
    <phoneticPr fontId="2" type="noConversion"/>
  </si>
  <si>
    <t>IO Type</t>
  </si>
  <si>
    <t>Signal Type</t>
  </si>
  <si>
    <t>Zero Stauts</t>
  </si>
  <si>
    <t>One Stauts</t>
  </si>
  <si>
    <t>Alarm Setting</t>
  </si>
  <si>
    <t>Range</t>
  </si>
  <si>
    <t>Unit</t>
  </si>
  <si>
    <t>RIO Panel No.</t>
  </si>
  <si>
    <t>Slot Number</t>
  </si>
  <si>
    <t>Channel Number</t>
  </si>
  <si>
    <t>Remarks</t>
  </si>
  <si>
    <t>LL</t>
  </si>
  <si>
    <t>L</t>
  </si>
  <si>
    <t>H</t>
  </si>
  <si>
    <t>HH</t>
  </si>
  <si>
    <t>used</t>
  </si>
  <si>
    <t>spare</t>
  </si>
  <si>
    <t>DO</t>
  </si>
  <si>
    <t>AI</t>
  </si>
  <si>
    <t>AO</t>
  </si>
  <si>
    <t>DCS Tag Number</t>
  </si>
  <si>
    <t>S/N</t>
  </si>
  <si>
    <t>DI</t>
  </si>
  <si>
    <t>4~20mA</t>
  </si>
  <si>
    <t>Dry Contact</t>
  </si>
  <si>
    <t>Open</t>
  </si>
  <si>
    <t>Close</t>
  </si>
  <si>
    <t>22E20-C01-P1-PID-3001</t>
  </si>
  <si>
    <t>22E20-C01-P1-PID-3002</t>
  </si>
  <si>
    <t>41-ED-0001</t>
  </si>
  <si>
    <t>41-TLB-001</t>
  </si>
  <si>
    <t>41-TLB-001 Grouding Unit</t>
  </si>
  <si>
    <t>22E20-C01-P1-PID-4001</t>
  </si>
  <si>
    <t>Normal</t>
  </si>
  <si>
    <t>Grounding Fault</t>
  </si>
  <si>
    <t>41-TLA-001</t>
  </si>
  <si>
    <t>H Level</t>
  </si>
  <si>
    <t xml:space="preserve">41-TLA-001 Overfilling Protection </t>
  </si>
  <si>
    <t>41-LAH-0101</t>
  </si>
  <si>
    <t>41-LSH-0101</t>
  </si>
  <si>
    <t>41-AVA-0001</t>
  </si>
  <si>
    <t xml:space="preserve"> 41-TLB-001 Audible &amp; Visual Alarm</t>
  </si>
  <si>
    <t>Alarm</t>
  </si>
  <si>
    <t>41-ZI-0101</t>
  </si>
  <si>
    <t>41-WCV-0101</t>
  </si>
  <si>
    <t>41-WCV-01 Opening Position Feedback</t>
  </si>
  <si>
    <t>41-ZC-0101</t>
  </si>
  <si>
    <t xml:space="preserve">41-WCV-01 Opening Control Signal </t>
  </si>
  <si>
    <t>%</t>
  </si>
  <si>
    <t>41-LAH-0201</t>
  </si>
  <si>
    <t>41-LSH-0201</t>
  </si>
  <si>
    <t>41-ZI-0201</t>
  </si>
  <si>
    <t>41-WCV-0201</t>
  </si>
  <si>
    <t>41-ZC-0201</t>
  </si>
  <si>
    <t xml:space="preserve">41-TLA-002 Overfilling Protection </t>
  </si>
  <si>
    <t>41-TLA-002</t>
  </si>
  <si>
    <t>22E20-C01-P1-PID-4002</t>
  </si>
  <si>
    <t xml:space="preserve">41-TLA-001 Truck Loading Arm Parked </t>
  </si>
  <si>
    <t>41-TLA-001 Truck Loading Arm Extended</t>
  </si>
  <si>
    <t xml:space="preserve">Parked </t>
  </si>
  <si>
    <t>Extended</t>
  </si>
  <si>
    <t xml:space="preserve">41-TLA-002 Truck Loading Arm Parked </t>
  </si>
  <si>
    <t>41-TLA-002 Truck Loading Arm Extended</t>
  </si>
  <si>
    <t>41-ZLH-002</t>
  </si>
  <si>
    <t>41-ZLL-002</t>
  </si>
  <si>
    <t>41-ZLH-001</t>
  </si>
  <si>
    <t>41-ZLL-001</t>
  </si>
  <si>
    <t>42-LAH-0101</t>
  </si>
  <si>
    <t>42-LSH-0101</t>
  </si>
  <si>
    <t xml:space="preserve">42-TLA-001 Overfilling Protection </t>
  </si>
  <si>
    <t>42-TLA-001</t>
  </si>
  <si>
    <t>42-ZI-0101</t>
  </si>
  <si>
    <t>42-WCV-0101</t>
  </si>
  <si>
    <t>42-WCV-01 Opening Position Feedback</t>
  </si>
  <si>
    <t>42-ZC-0101</t>
  </si>
  <si>
    <t xml:space="preserve">42-WCV-01 Opening Control Signal </t>
  </si>
  <si>
    <t>42-ZLH-001</t>
  </si>
  <si>
    <t xml:space="preserve">42-TLA-001 Truck Loading Arm Parked </t>
  </si>
  <si>
    <t>42-ZLL-001</t>
  </si>
  <si>
    <t>42-TLA-001 Truck Loading Arm Extended</t>
  </si>
  <si>
    <t>42-LAH-0201</t>
  </si>
  <si>
    <t>42-LSH-0201</t>
  </si>
  <si>
    <t xml:space="preserve">42-TLA-002 Overfilling Protection </t>
  </si>
  <si>
    <t>42-TLA-002</t>
  </si>
  <si>
    <t>42-ZI-0201</t>
  </si>
  <si>
    <t>42-WCV-0201</t>
  </si>
  <si>
    <t>42-ZC-0201</t>
  </si>
  <si>
    <t>42-ZLH-002</t>
  </si>
  <si>
    <t xml:space="preserve">42-TLA-002 Truck Loading Arm Parked </t>
  </si>
  <si>
    <t>42-ZLL-002</t>
  </si>
  <si>
    <t>42-TLA-002 Truck Loading Arm Extended</t>
  </si>
  <si>
    <t>42-ED-0001</t>
  </si>
  <si>
    <t>42-TLB-001 Grouding Unit</t>
  </si>
  <si>
    <t>42-TLB-001</t>
  </si>
  <si>
    <t>42-AVA-0001</t>
  </si>
  <si>
    <t xml:space="preserve"> 42-TLB-001 Audible &amp; Visual Alarm</t>
  </si>
  <si>
    <t>43-LAH-0101</t>
  </si>
  <si>
    <t>43-LSH-0101</t>
  </si>
  <si>
    <t xml:space="preserve">43-TLA-001 Overfilling Protection </t>
  </si>
  <si>
    <t>43-TLA-001</t>
  </si>
  <si>
    <t>43-ZI-0101</t>
  </si>
  <si>
    <t>43-WCV-0101</t>
  </si>
  <si>
    <t>43-WCV-01 Opening Position Feedback</t>
  </si>
  <si>
    <t>43-ZC-0101</t>
  </si>
  <si>
    <t xml:space="preserve">43-WCV-01 Opening Control Signal </t>
  </si>
  <si>
    <t>43-ZLH-001</t>
  </si>
  <si>
    <t xml:space="preserve">43-TLA-001 Truck Loading Arm Parked </t>
  </si>
  <si>
    <t>43-ZLL-001</t>
  </si>
  <si>
    <t>43-TLA-001 Truck Loading Arm Extended</t>
  </si>
  <si>
    <t>43-LAH-0201</t>
  </si>
  <si>
    <t>43-LSH-0201</t>
  </si>
  <si>
    <t xml:space="preserve">43-TLA-002 Overfilling Protection </t>
  </si>
  <si>
    <t>43-TLA-002</t>
  </si>
  <si>
    <t>43-ZI-0201</t>
  </si>
  <si>
    <t>43-WCV-0201</t>
  </si>
  <si>
    <t>43-ZC-0201</t>
  </si>
  <si>
    <t>43-ZLH-002</t>
  </si>
  <si>
    <t xml:space="preserve">43-TLA-002 Truck Loading Arm Parked </t>
  </si>
  <si>
    <t>43-ZLL-002</t>
  </si>
  <si>
    <t>43-TLA-002 Truck Loading Arm Extended</t>
  </si>
  <si>
    <t>43-ED-0001</t>
  </si>
  <si>
    <t>43-TLB-001 Grouding Unit</t>
  </si>
  <si>
    <t>43-TLB-001</t>
  </si>
  <si>
    <t>43-AVA-0001</t>
  </si>
  <si>
    <t xml:space="preserve"> 43-TLB-001 Audible &amp; Visual Alarm</t>
  </si>
  <si>
    <t>44-LAH-0101</t>
  </si>
  <si>
    <t>44-LSH-0101</t>
  </si>
  <si>
    <t xml:space="preserve">44-TLA-001 Overfilling Protection </t>
  </si>
  <si>
    <t>44-TLA-001</t>
  </si>
  <si>
    <t>44-ZI-0101</t>
  </si>
  <si>
    <t>44-WCV-0101</t>
  </si>
  <si>
    <t>44-WCV-01 Opening Position Feedback</t>
  </si>
  <si>
    <t>44-ZC-0101</t>
  </si>
  <si>
    <t xml:space="preserve">44-WCV-01 Opening Control Signal </t>
  </si>
  <si>
    <t>44-ZLH-001</t>
  </si>
  <si>
    <t xml:space="preserve">44-TLA-001 Truck Loading Arm Parked </t>
  </si>
  <si>
    <t>44-ZLL-001</t>
  </si>
  <si>
    <t>44-TLA-001 Truck Loading Arm Extended</t>
  </si>
  <si>
    <t>44-LAH-0201</t>
  </si>
  <si>
    <t>44-LSH-0201</t>
  </si>
  <si>
    <t>44-TLA-002</t>
  </si>
  <si>
    <t>44-ZI-0201</t>
  </si>
  <si>
    <t>44-WCV-0201</t>
  </si>
  <si>
    <t>44-ZC-0201</t>
  </si>
  <si>
    <t>44-ZLH-002</t>
  </si>
  <si>
    <t xml:space="preserve">44-TLA-002 Truck Loading Arm Parked </t>
  </si>
  <si>
    <t>44-ZLL-002</t>
  </si>
  <si>
    <t>44-TLA-002 Truck Loading Arm Extended</t>
  </si>
  <si>
    <t>44-ED-0001</t>
  </si>
  <si>
    <t>44-TLB-001 Grouding Unit</t>
  </si>
  <si>
    <t>44-TLB-001</t>
  </si>
  <si>
    <t>44-AVA-0001</t>
  </si>
  <si>
    <t xml:space="preserve"> 44-TLB-001 Audible &amp; Visual Alarm</t>
  </si>
  <si>
    <t>Barg</t>
  </si>
  <si>
    <t>O1</t>
  </si>
  <si>
    <t>PI</t>
  </si>
  <si>
    <t>-</t>
  </si>
  <si>
    <t>℃</t>
  </si>
  <si>
    <t>Area</t>
  </si>
  <si>
    <t>Remote</t>
  </si>
  <si>
    <t>10% Feed Margin</t>
  </si>
  <si>
    <t>TRUCK LOADING BAY</t>
  </si>
  <si>
    <t>This is preliminary IO list and will be finalized during detail design.</t>
  </si>
  <si>
    <t>Including 20% Spare</t>
  </si>
  <si>
    <t>A</t>
  </si>
  <si>
    <t>A</t>
    <phoneticPr fontId="8" type="noConversion"/>
  </si>
  <si>
    <t>01-LS-0101</t>
  </si>
  <si>
    <t>01-LS-0201</t>
  </si>
  <si>
    <t>01-LS-0301</t>
  </si>
  <si>
    <t>01-LS-0401</t>
  </si>
  <si>
    <t>01-LS-0501</t>
  </si>
  <si>
    <t>01-LS-0601</t>
  </si>
  <si>
    <t>01-LS-0701</t>
  </si>
  <si>
    <t>01-LS-0801</t>
  </si>
  <si>
    <t>01-TT-0102</t>
  </si>
  <si>
    <t>01-TT-0202</t>
  </si>
  <si>
    <t>01-TT-0302</t>
  </si>
  <si>
    <t>01-TT-0402</t>
  </si>
  <si>
    <t>01-TT-0502</t>
  </si>
  <si>
    <t>01-TT-0602</t>
  </si>
  <si>
    <t>01-TT-0702</t>
  </si>
  <si>
    <t>01-TT-0802</t>
  </si>
  <si>
    <t>01-MOV-0101</t>
  </si>
  <si>
    <t>01-MOV-0102</t>
  </si>
  <si>
    <t>01-MOV-0103</t>
  </si>
  <si>
    <t>01-MOV-0201</t>
  </si>
  <si>
    <t>01-MOV-0202</t>
  </si>
  <si>
    <t>01-MOV-0203</t>
  </si>
  <si>
    <t>01-MOV-0301</t>
  </si>
  <si>
    <t>01-MOV-0302</t>
  </si>
  <si>
    <t>01-MOV-0303</t>
  </si>
  <si>
    <t>01-MOV-0401</t>
  </si>
  <si>
    <t>01-MOV-0402</t>
  </si>
  <si>
    <t>01-MOV-0403</t>
  </si>
  <si>
    <t>01-MOV-0501</t>
  </si>
  <si>
    <t>01-MOV-0502</t>
  </si>
  <si>
    <t>01-MOV-0503</t>
  </si>
  <si>
    <t>01-MOV-0601</t>
  </si>
  <si>
    <t>01-MOV-0602</t>
  </si>
  <si>
    <t>01-MOV-0603</t>
  </si>
  <si>
    <t>01-MOV-0701</t>
  </si>
  <si>
    <t>01-MOV-0702</t>
  </si>
  <si>
    <t>01-MOV-0703</t>
  </si>
  <si>
    <t>01-MOV-0801</t>
  </si>
  <si>
    <t>01-MOV-0802</t>
  </si>
  <si>
    <t>01-MOV-0803</t>
  </si>
  <si>
    <t>T-101</t>
  </si>
  <si>
    <t>24E11-P1-PI-1002</t>
  </si>
  <si>
    <t>T-102</t>
  </si>
  <si>
    <t>T-103</t>
  </si>
  <si>
    <t>T-104</t>
  </si>
  <si>
    <t>T-105</t>
  </si>
  <si>
    <t>24E11-P1-PI-1001</t>
  </si>
  <si>
    <t>T-106</t>
  </si>
  <si>
    <t>T-107</t>
  </si>
  <si>
    <t>T-108</t>
  </si>
  <si>
    <t>01LSHH0501</t>
  </si>
  <si>
    <t>01LSHH0601</t>
  </si>
  <si>
    <t>01LSHH0701</t>
  </si>
  <si>
    <t>01LSHH0801</t>
  </si>
  <si>
    <t>01LSHH0101</t>
  </si>
  <si>
    <t>01LSHH0201</t>
  </si>
  <si>
    <t>01LSHH0301</t>
  </si>
  <si>
    <t>01LSHH0401</t>
  </si>
  <si>
    <t>01TI0102</t>
  </si>
  <si>
    <t>01TI0202</t>
  </si>
  <si>
    <t>01TI0302</t>
  </si>
  <si>
    <t>01TI0402</t>
  </si>
  <si>
    <t>01TI0502</t>
  </si>
  <si>
    <t>01TI0602</t>
  </si>
  <si>
    <t>01TI0702</t>
  </si>
  <si>
    <t>01TI0802</t>
  </si>
  <si>
    <t>DO</t>
    <phoneticPr fontId="8" type="noConversion"/>
  </si>
  <si>
    <t>Open</t>
    <phoneticPr fontId="8" type="noConversion"/>
  </si>
  <si>
    <t xml:space="preserve"> Closed</t>
    <phoneticPr fontId="8" type="noConversion"/>
  </si>
  <si>
    <t>Remote</t>
    <phoneticPr fontId="8" type="noConversion"/>
  </si>
  <si>
    <t>Local/Off</t>
    <phoneticPr fontId="8" type="noConversion"/>
  </si>
  <si>
    <t>Local/Remote/Off Switch</t>
    <phoneticPr fontId="8" type="noConversion"/>
  </si>
  <si>
    <t>-</t>
    <phoneticPr fontId="8" type="noConversion"/>
  </si>
  <si>
    <t>Close</t>
    <phoneticPr fontId="8" type="noConversion"/>
  </si>
  <si>
    <t>24E11-P1-PI-1001</t>
    <phoneticPr fontId="8" type="noConversion"/>
  </si>
  <si>
    <t>Dry Contact</t>
    <phoneticPr fontId="8" type="noConversion"/>
  </si>
  <si>
    <t>Power</t>
    <phoneticPr fontId="8" type="noConversion"/>
  </si>
  <si>
    <t>Loop Powered</t>
    <phoneticPr fontId="8" type="noConversion"/>
  </si>
  <si>
    <t>24VDC</t>
    <phoneticPr fontId="8" type="noConversion"/>
  </si>
  <si>
    <t>%</t>
    <phoneticPr fontId="8" type="noConversion"/>
  </si>
  <si>
    <t>HOLD</t>
    <phoneticPr fontId="8" type="noConversion"/>
  </si>
  <si>
    <t>01ZLL0101</t>
  </si>
  <si>
    <t>01-ZSL-0101</t>
  </si>
  <si>
    <t>01-MOV-0101 Fully Closed</t>
  </si>
  <si>
    <t>01ZLH0101</t>
  </si>
  <si>
    <t>01-ZSH-0101</t>
  </si>
  <si>
    <t>01-MOV-0101 Fully Open</t>
  </si>
  <si>
    <t>01XS0101</t>
  </si>
  <si>
    <t>01-HS-0101</t>
  </si>
  <si>
    <t>01HSC0101</t>
  </si>
  <si>
    <t>01-MOV-0101 Open Command</t>
  </si>
  <si>
    <t>01HSO0101</t>
  </si>
  <si>
    <t>01-MOV-0101 Close Command</t>
  </si>
  <si>
    <t>01ZLL0102</t>
  </si>
  <si>
    <t>01-ZSL-0102</t>
  </si>
  <si>
    <t>01-MOV-0102 Fully Closed</t>
  </si>
  <si>
    <t>01ZLH0102</t>
  </si>
  <si>
    <t>01-ZSH-0102</t>
  </si>
  <si>
    <t>01-MOV-0102 Fully Open</t>
  </si>
  <si>
    <t>01XS0102</t>
  </si>
  <si>
    <t>01-HS-0102</t>
  </si>
  <si>
    <t>01HSC0102</t>
  </si>
  <si>
    <t>01-MOV-0102 Open Command</t>
  </si>
  <si>
    <t>01HSO0102</t>
  </si>
  <si>
    <t>01-MOV-0102 Close Command</t>
  </si>
  <si>
    <t>01ZI0102</t>
  </si>
  <si>
    <t>01-ZT-0102</t>
  </si>
  <si>
    <t>01ZLL0103</t>
  </si>
  <si>
    <t>01-ZSL-0103</t>
  </si>
  <si>
    <t>01-MOV-0103 Fully Closed</t>
  </si>
  <si>
    <t>01ZLH0103</t>
  </si>
  <si>
    <t>01-ZSH-0103</t>
  </si>
  <si>
    <t>01-MOV-0103 Fully Open</t>
  </si>
  <si>
    <t>01XS0103</t>
  </si>
  <si>
    <t>01-HS-0103</t>
  </si>
  <si>
    <t>01HSC0103</t>
  </si>
  <si>
    <t>01-MOV-0103 Open Command</t>
  </si>
  <si>
    <t>01HSO0103</t>
  </si>
  <si>
    <t>01-MOV-0103 Close Command</t>
  </si>
  <si>
    <t>01ZLL0201</t>
  </si>
  <si>
    <t>01-ZSL-0201</t>
  </si>
  <si>
    <t>01-MOV-0201 Fully Closed</t>
  </si>
  <si>
    <t>01ZLH0201</t>
  </si>
  <si>
    <t>01-ZSH-0201</t>
  </si>
  <si>
    <t>01-MOV-0201 Fully Open</t>
  </si>
  <si>
    <t>01XS0201</t>
  </si>
  <si>
    <t>01-HS-0201</t>
  </si>
  <si>
    <t>01HSC0201</t>
  </si>
  <si>
    <t>01-MOV-0201 Open Command</t>
  </si>
  <si>
    <t>01HSO0201</t>
  </si>
  <si>
    <t>01-MOV-0201 Close Command</t>
  </si>
  <si>
    <t>01ZLL0202</t>
  </si>
  <si>
    <t>01-ZSL-0202</t>
  </si>
  <si>
    <t>01-MOV-0202 Fully Closed</t>
  </si>
  <si>
    <t>01ZLH0202</t>
  </si>
  <si>
    <t>01-ZSH-0202</t>
  </si>
  <si>
    <t>01-MOV-0202 Fully Open</t>
  </si>
  <si>
    <t>01XS0202</t>
  </si>
  <si>
    <t>01-HS-0202</t>
  </si>
  <si>
    <t>01HSC0202</t>
  </si>
  <si>
    <t>01-MOV-0202 Open Command</t>
  </si>
  <si>
    <t>01HSO0202</t>
  </si>
  <si>
    <t>01-MOV-0202 Close Command</t>
  </si>
  <si>
    <t>01ZI0202</t>
  </si>
  <si>
    <t>01-ZT-0202</t>
  </si>
  <si>
    <t>01ZLL0203</t>
  </si>
  <si>
    <t>01-ZSL-0203</t>
  </si>
  <si>
    <t>01-MOV-0203 Fully Closed</t>
  </si>
  <si>
    <t>01ZLH0203</t>
  </si>
  <si>
    <t>01-ZSH-0203</t>
  </si>
  <si>
    <t>01-MOV-0203 Fully Open</t>
  </si>
  <si>
    <t>01XS0203</t>
  </si>
  <si>
    <t>01-HS-0203</t>
  </si>
  <si>
    <t>01HSC0203</t>
  </si>
  <si>
    <t>01-MOV-0203 Open Command</t>
  </si>
  <si>
    <t>01HSO0203</t>
  </si>
  <si>
    <t>01-MOV-0203 Close Command</t>
  </si>
  <si>
    <t>01ZLL0301</t>
  </si>
  <si>
    <t>01-ZSL-0301</t>
  </si>
  <si>
    <t>01-MOV-0301 Fully Closed</t>
  </si>
  <si>
    <t>01ZLH0301</t>
  </si>
  <si>
    <t>01-ZSH-0301</t>
  </si>
  <si>
    <t>01-MOV-0301 Fully Open</t>
  </si>
  <si>
    <t>01XS0301</t>
  </si>
  <si>
    <t>01-HS-0301</t>
  </si>
  <si>
    <t>01HSC0301</t>
  </si>
  <si>
    <t>01-MOV-0301 Open Command</t>
  </si>
  <si>
    <t>01HSO0301</t>
  </si>
  <si>
    <t>01-MOV-0301 Close Command</t>
  </si>
  <si>
    <t>01ZLL0302</t>
  </si>
  <si>
    <t>01-ZSL-0302</t>
  </si>
  <si>
    <t>01-MOV-0302 Fully Closed</t>
  </si>
  <si>
    <t>01ZLH0302</t>
  </si>
  <si>
    <t>01-ZSH-0302</t>
  </si>
  <si>
    <t>01-MOV-0302 Fully Open</t>
  </si>
  <si>
    <t>01XS0302</t>
  </si>
  <si>
    <t>01-HS-0302</t>
  </si>
  <si>
    <t>01HSC0302</t>
  </si>
  <si>
    <t>01-MOV-0302 Open Command</t>
  </si>
  <si>
    <t>01HSO0302</t>
  </si>
  <si>
    <t>01-MOV-0302 Close Command</t>
  </si>
  <si>
    <t>01ZI0302</t>
  </si>
  <si>
    <t>01-ZT-0302</t>
  </si>
  <si>
    <t>01ZLL0303</t>
  </si>
  <si>
    <t>01-ZSL-0303</t>
  </si>
  <si>
    <t>01-MOV-0303 Fully Closed</t>
  </si>
  <si>
    <t>01ZLH0303</t>
  </si>
  <si>
    <t>01-ZSH-0303</t>
  </si>
  <si>
    <t>01-MOV-0303 Fully Open</t>
  </si>
  <si>
    <t>01XS0303</t>
  </si>
  <si>
    <t>01-HS-0303</t>
  </si>
  <si>
    <t>01HSC0303</t>
  </si>
  <si>
    <t>01-MOV-0303 Open Command</t>
  </si>
  <si>
    <t>01HSO0303</t>
  </si>
  <si>
    <t>01-MOV-0303 Close Command</t>
  </si>
  <si>
    <t>01ZLL0401</t>
  </si>
  <si>
    <t>01-ZSL-0401</t>
  </si>
  <si>
    <t>01-MOV-0401 Fully Closed</t>
  </si>
  <si>
    <t>01ZLH0401</t>
  </si>
  <si>
    <t>01-ZSH-0401</t>
  </si>
  <si>
    <t>01-MOV-0401 Fully Open</t>
  </si>
  <si>
    <t>01XS0401</t>
  </si>
  <si>
    <t>01-HS-0401</t>
  </si>
  <si>
    <t>01HSC0401</t>
  </si>
  <si>
    <t>01-MOV-0401 Open Command</t>
  </si>
  <si>
    <t>01HSO0401</t>
  </si>
  <si>
    <t>01-MOV-0401 Close Command</t>
  </si>
  <si>
    <t>01ZLL0402</t>
  </si>
  <si>
    <t>01-ZSL-0402</t>
  </si>
  <si>
    <t>01-MOV-0402 Fully Closed</t>
  </si>
  <si>
    <t>01ZLH0402</t>
  </si>
  <si>
    <t>01-ZSH-0402</t>
  </si>
  <si>
    <t>01-MOV-0402 Fully Open</t>
  </si>
  <si>
    <t>01XS0402</t>
  </si>
  <si>
    <t>01-HS-0402</t>
  </si>
  <si>
    <t>01HSC0402</t>
  </si>
  <si>
    <t>01-MOV-0402 Open Command</t>
  </si>
  <si>
    <t>01HSO0402</t>
  </si>
  <si>
    <t>01-MOV-0402 Close Command</t>
  </si>
  <si>
    <t>01ZI0402</t>
  </si>
  <si>
    <t>01-ZT-0402</t>
  </si>
  <si>
    <t>01ZLL0403</t>
  </si>
  <si>
    <t>01-ZSL-0403</t>
  </si>
  <si>
    <t>01-MOV-0403 Fully Closed</t>
  </si>
  <si>
    <t>01ZLH0403</t>
  </si>
  <si>
    <t>01-ZSH-0403</t>
  </si>
  <si>
    <t>01-MOV-0403 Fully Open</t>
  </si>
  <si>
    <t>01XS0403</t>
  </si>
  <si>
    <t>01-HS-0403</t>
  </si>
  <si>
    <t>01HSC0403</t>
  </si>
  <si>
    <t>01-MOV-0403 Open Command</t>
  </si>
  <si>
    <t>01HSO0403</t>
  </si>
  <si>
    <t>01-MOV-0403 Close Command</t>
  </si>
  <si>
    <t>01ZLL0501</t>
  </si>
  <si>
    <t>01-ZSL-0501</t>
  </si>
  <si>
    <t>01-MOV-0501 Fully Closed</t>
  </si>
  <si>
    <t>01ZLH0501</t>
  </si>
  <si>
    <t>01-ZSH-0501</t>
  </si>
  <si>
    <t>01-MOV-0501 Fully Open</t>
  </si>
  <si>
    <t>01XS0501</t>
  </si>
  <si>
    <t>01-HS-0501</t>
  </si>
  <si>
    <t>01HSC0501</t>
  </si>
  <si>
    <t>01-MOV-0501 Open Command</t>
  </si>
  <si>
    <t>01HSO0501</t>
  </si>
  <si>
    <t>01-MOV-0501 Close Command</t>
  </si>
  <si>
    <t>01ZLL0502</t>
  </si>
  <si>
    <t>01-ZSL-0502</t>
  </si>
  <si>
    <t>01-MOV-0502 Fully Closed</t>
  </si>
  <si>
    <t>01ZLH0502</t>
  </si>
  <si>
    <t>01-ZSH-0502</t>
  </si>
  <si>
    <t>01-MOV-0502 Fully Open</t>
  </si>
  <si>
    <t>01XS0502</t>
  </si>
  <si>
    <t>01-HS-0502</t>
  </si>
  <si>
    <t>01HSC0502</t>
  </si>
  <si>
    <t>01-MOV-0502 Open Command</t>
  </si>
  <si>
    <t>01HSO0502</t>
  </si>
  <si>
    <t>01-MOV-0502 Close Command</t>
  </si>
  <si>
    <t>01ZI0502</t>
  </si>
  <si>
    <t>01-ZT-0502</t>
  </si>
  <si>
    <t>01ZLL0503</t>
  </si>
  <si>
    <t>01-ZSL-0503</t>
  </si>
  <si>
    <t>01ZLH0503</t>
  </si>
  <si>
    <t>01-ZSH-0503</t>
  </si>
  <si>
    <t>01XS0503</t>
  </si>
  <si>
    <t>01-HS-0503</t>
  </si>
  <si>
    <t>01HSC0503</t>
  </si>
  <si>
    <t>01-MOV-0503 Open Command</t>
  </si>
  <si>
    <t>01HSO0503</t>
  </si>
  <si>
    <t>01-MOV-0503 Close Command</t>
  </si>
  <si>
    <t>01ZLL0601</t>
  </si>
  <si>
    <t>01-ZSL-0601</t>
  </si>
  <si>
    <t>01-MOV-0601 Fully Closed</t>
  </si>
  <si>
    <t>01ZLH0601</t>
  </si>
  <si>
    <t>01-ZSH-0601</t>
  </si>
  <si>
    <t>01-MOV-0601 Fully Open</t>
  </si>
  <si>
    <t>01XS0601</t>
  </si>
  <si>
    <t>01-HS-0601</t>
  </si>
  <si>
    <t>01HSC0601</t>
  </si>
  <si>
    <t>01-MOV-0601 Open Command</t>
  </si>
  <si>
    <t>01HSO0601</t>
  </si>
  <si>
    <t>01-MOV-0601 Close Command</t>
  </si>
  <si>
    <t>01ZLL0602</t>
  </si>
  <si>
    <t>01-ZSL-0602</t>
  </si>
  <si>
    <t>01-MOV-0602 Fully Closed</t>
  </si>
  <si>
    <t>01ZLH0602</t>
  </si>
  <si>
    <t>01-ZSH-0602</t>
  </si>
  <si>
    <t>01-MOV-0602 Fully Open</t>
  </si>
  <si>
    <t>01XS0602</t>
  </si>
  <si>
    <t>01-HS-0602</t>
  </si>
  <si>
    <t>01HSC0602</t>
  </si>
  <si>
    <t>01-MOV-0602 Open Command</t>
  </si>
  <si>
    <t>01HSO0602</t>
  </si>
  <si>
    <t>01-MOV-0602 Close Command</t>
  </si>
  <si>
    <t>01ZI0602</t>
  </si>
  <si>
    <t>01-ZT-0602</t>
  </si>
  <si>
    <t>01ZLL0603</t>
  </si>
  <si>
    <t>01-ZSL-0603</t>
  </si>
  <si>
    <t>01-MOV-0603 Fully Closed</t>
  </si>
  <si>
    <t>01ZLH0603</t>
  </si>
  <si>
    <t>01-ZSH-0603</t>
  </si>
  <si>
    <t>01-MOV-0603 Fully Open</t>
  </si>
  <si>
    <t>01XS0603</t>
  </si>
  <si>
    <t>01-HS-0603</t>
  </si>
  <si>
    <t>01HSC0603</t>
  </si>
  <si>
    <t>01-MOV-0603 Open Command</t>
  </si>
  <si>
    <t>01HSO0603</t>
  </si>
  <si>
    <t>01-MOV-0603 Close Command</t>
  </si>
  <si>
    <t>01ZLL0701</t>
  </si>
  <si>
    <t>01-ZSL-0701</t>
  </si>
  <si>
    <t>01-MOV-0701 Fully Closed</t>
  </si>
  <si>
    <t>01ZLH0701</t>
  </si>
  <si>
    <t>01-ZSH-0701</t>
  </si>
  <si>
    <t>01-MOV-0701 Fully Open</t>
  </si>
  <si>
    <t>01XS0701</t>
  </si>
  <si>
    <t>01-HS-0701</t>
  </si>
  <si>
    <t>01HSC0701</t>
  </si>
  <si>
    <t>01-MOV-0701 Open Command</t>
  </si>
  <si>
    <t>01HSO0701</t>
  </si>
  <si>
    <t>01-MOV-0701 Close Command</t>
  </si>
  <si>
    <t>01ZLL0702</t>
  </si>
  <si>
    <t>01-ZSL-0702</t>
  </si>
  <si>
    <t>01-MOV-0702 Fully Closed</t>
  </si>
  <si>
    <t>01ZLH0702</t>
  </si>
  <si>
    <t>01-ZSH-0702</t>
  </si>
  <si>
    <t>01-MOV-0702 Fully Open</t>
  </si>
  <si>
    <t>01XS0702</t>
  </si>
  <si>
    <t>01-HS-0702</t>
  </si>
  <si>
    <t>01HSC0702</t>
  </si>
  <si>
    <t>01-MOV-0702 Open Command</t>
  </si>
  <si>
    <t>01HSO0702</t>
  </si>
  <si>
    <t>01-MOV-0702 Close Command</t>
  </si>
  <si>
    <t>01ZI0702</t>
  </si>
  <si>
    <t>01-ZT-0702</t>
  </si>
  <si>
    <t>01ZLL0703</t>
  </si>
  <si>
    <t>01-ZSL-0703</t>
  </si>
  <si>
    <t>01-MOV-0703 Fully Closed</t>
  </si>
  <si>
    <t>01ZLH0703</t>
  </si>
  <si>
    <t>01-ZSH-0703</t>
  </si>
  <si>
    <t>01-MOV-0703 Fully Open</t>
  </si>
  <si>
    <t>01XS0703</t>
  </si>
  <si>
    <t>01-HS-0703</t>
  </si>
  <si>
    <t>01HSC0703</t>
  </si>
  <si>
    <t>01-MOV-0703 Open Command</t>
  </si>
  <si>
    <t>01HSO0703</t>
  </si>
  <si>
    <t>01-MOV-0703 Close Command</t>
  </si>
  <si>
    <t>01ZLL0801</t>
  </si>
  <si>
    <t>01-ZSL-0801</t>
  </si>
  <si>
    <t>01-MOV-0801 Fully Closed</t>
  </si>
  <si>
    <t>01ZLH0801</t>
  </si>
  <si>
    <t>01-ZSH-0801</t>
  </si>
  <si>
    <t>01-MOV-0801 Fully Open</t>
  </si>
  <si>
    <t>01XS0801</t>
  </si>
  <si>
    <t>01-HS-0801</t>
  </si>
  <si>
    <t>01HSC0801</t>
  </si>
  <si>
    <t>01-MOV-0801 Open Command</t>
  </si>
  <si>
    <t>01HSO0801</t>
  </si>
  <si>
    <t>01-MOV-0801 Close Command</t>
  </si>
  <si>
    <t>01ZLL0802</t>
  </si>
  <si>
    <t>01-ZSL-0802</t>
  </si>
  <si>
    <t>01-MOV-0802 Fully Closed</t>
  </si>
  <si>
    <t>01ZLH0802</t>
  </si>
  <si>
    <t>01-ZSH-0802</t>
  </si>
  <si>
    <t>01-MOV-0802 Fully Open</t>
  </si>
  <si>
    <t>01XS0802</t>
  </si>
  <si>
    <t>01-HS-0802</t>
  </si>
  <si>
    <t>01HSC0802</t>
  </si>
  <si>
    <t>01-MOV-0802 Open Command</t>
  </si>
  <si>
    <t>01HSO0802</t>
  </si>
  <si>
    <t>01-MOV-0802 Close Command</t>
  </si>
  <si>
    <t>01ZI0802</t>
  </si>
  <si>
    <t>01-ZT-0802</t>
  </si>
  <si>
    <t>01ZLL0803</t>
  </si>
  <si>
    <t>01-ZSL-0803</t>
  </si>
  <si>
    <t>01-MOV-0803 Fully Closed</t>
  </si>
  <si>
    <t>01ZLH0803</t>
  </si>
  <si>
    <t>01-ZSH-0803</t>
  </si>
  <si>
    <t>01-MOV-0803 Fully Open</t>
  </si>
  <si>
    <t>01XS0803</t>
  </si>
  <si>
    <t>01-HS-0803</t>
  </si>
  <si>
    <t>01HSC0803</t>
  </si>
  <si>
    <t>01-MOV-0803 Open Command</t>
  </si>
  <si>
    <t>01HSO0803</t>
  </si>
  <si>
    <t>01-MOV-0803 Close Command</t>
  </si>
  <si>
    <t>T-101 Level Switch</t>
  </si>
  <si>
    <t>T-102 Level Switch</t>
  </si>
  <si>
    <t>T-103 Level Switch</t>
  </si>
  <si>
    <t>T-104 Level Switch</t>
  </si>
  <si>
    <t>T-105 Level Switch</t>
  </si>
  <si>
    <t>T-106 Level Switch</t>
  </si>
  <si>
    <t>T-107 Level Switch</t>
  </si>
  <si>
    <t>T-108 Level Switch</t>
  </si>
  <si>
    <t>T-101 Temperature</t>
  </si>
  <si>
    <t>T-102 Temperature</t>
  </si>
  <si>
    <t>T-103 Temperature</t>
  </si>
  <si>
    <t>T-104 Temperature</t>
  </si>
  <si>
    <t>T-105 Temperature</t>
  </si>
  <si>
    <t>T-106 Temperature</t>
  </si>
  <si>
    <t>T-107 Temperature</t>
  </si>
  <si>
    <t>T-108 Temperature</t>
  </si>
  <si>
    <t>03-MOV-0001 Fully Closed</t>
  </si>
  <si>
    <t>03-MOV-0001</t>
  </si>
  <si>
    <t>03-MOV-0001 Fully Open</t>
  </si>
  <si>
    <t>INSTRUMENT I/O FOR JETTY AREA</t>
    <phoneticPr fontId="8" type="noConversion"/>
  </si>
  <si>
    <t>PLR-301 Discharge Line Pressure</t>
    <phoneticPr fontId="8" type="noConversion"/>
  </si>
  <si>
    <t>PL-0301-8''-150A1</t>
    <phoneticPr fontId="8" type="noConversion"/>
  </si>
  <si>
    <t>03ZLL0001</t>
  </si>
  <si>
    <t>03-ZSL-0001</t>
  </si>
  <si>
    <t>03ZLH0001</t>
  </si>
  <si>
    <t>03-ZSH-0001</t>
  </si>
  <si>
    <t>03XS0001</t>
  </si>
  <si>
    <t>03-HS-0001</t>
  </si>
  <si>
    <t>03HSC0001</t>
  </si>
  <si>
    <t>03HSO0001</t>
  </si>
  <si>
    <t>03PI0001</t>
    <phoneticPr fontId="8" type="noConversion"/>
  </si>
  <si>
    <t>03-PT-0001</t>
    <phoneticPr fontId="8" type="noConversion"/>
  </si>
  <si>
    <t>04-FT-0101</t>
  </si>
  <si>
    <t>04-FT-0601</t>
  </si>
  <si>
    <t>04-FT-0701</t>
  </si>
  <si>
    <t>04-FT-0801</t>
  </si>
  <si>
    <t>04-FCV-0601</t>
  </si>
  <si>
    <t>04-TT-0101</t>
  </si>
  <si>
    <t>04-TT-0201</t>
  </si>
  <si>
    <t>04-TT-0301</t>
  </si>
  <si>
    <t>04-TT-0401</t>
  </si>
  <si>
    <t>04-TT-0501</t>
  </si>
  <si>
    <t>04-TT-0601</t>
  </si>
  <si>
    <t>04-TT-0701</t>
  </si>
  <si>
    <t>04-TT-0801</t>
  </si>
  <si>
    <t>04-PT-0101</t>
  </si>
  <si>
    <t>04-PT-0201</t>
  </si>
  <si>
    <t>04-PT-0301</t>
  </si>
  <si>
    <t>04-PT-0401</t>
  </si>
  <si>
    <t>04-PT-0501</t>
  </si>
  <si>
    <t>04-PT-0601</t>
  </si>
  <si>
    <t>04-PT-0701</t>
  </si>
  <si>
    <t>04-PT-0801</t>
  </si>
  <si>
    <t>04-MOV-0101</t>
  </si>
  <si>
    <t>04-MOV-0201</t>
  </si>
  <si>
    <t>04-MOV-0301</t>
  </si>
  <si>
    <t>04-MOV-0401</t>
  </si>
  <si>
    <t>04-MOV-0501</t>
  </si>
  <si>
    <t>04-MOV-0601</t>
  </si>
  <si>
    <t>04-MOV-0701</t>
  </si>
  <si>
    <t>04-MOV-0801</t>
  </si>
  <si>
    <t>04-LS-0101</t>
  </si>
  <si>
    <t>04-LS-0201</t>
  </si>
  <si>
    <t>04-LS-0301</t>
  </si>
  <si>
    <t>04-LS-0401</t>
  </si>
  <si>
    <t>04-LS-0501</t>
  </si>
  <si>
    <t>04-LS-0601</t>
  </si>
  <si>
    <t>04-LS-0701</t>
  </si>
  <si>
    <t>04-LS-0801</t>
  </si>
  <si>
    <t>04-ED-0002</t>
  </si>
  <si>
    <t>04-ED-0003</t>
  </si>
  <si>
    <t>04-ED-0004</t>
  </si>
  <si>
    <t>04-ED-0005</t>
  </si>
  <si>
    <t>04-ED-0006</t>
  </si>
  <si>
    <t>04-ED-0007</t>
  </si>
  <si>
    <t>04-ED-0008</t>
  </si>
  <si>
    <t>04-PT-0001</t>
  </si>
  <si>
    <t>Barg</t>
    <phoneticPr fontId="8" type="noConversion"/>
  </si>
  <si>
    <t>04-ED-0001</t>
    <phoneticPr fontId="8" type="noConversion"/>
  </si>
  <si>
    <t>04-FT-0201</t>
    <phoneticPr fontId="8" type="noConversion"/>
  </si>
  <si>
    <t>04-FT-0301</t>
    <phoneticPr fontId="8" type="noConversion"/>
  </si>
  <si>
    <t>04-FT-0401</t>
    <phoneticPr fontId="8" type="noConversion"/>
  </si>
  <si>
    <t>04-FT-0501</t>
    <phoneticPr fontId="8" type="noConversion"/>
  </si>
  <si>
    <t>PL-0408-4"-150A1</t>
  </si>
  <si>
    <t>24E11-P1-PI-1005</t>
  </si>
  <si>
    <t>PL-0409-4"-150A1</t>
  </si>
  <si>
    <t>PL-0412-4"-150A1</t>
  </si>
  <si>
    <t>PL-0413-4"-150A1</t>
  </si>
  <si>
    <t>PL-0416-4"-150A1</t>
  </si>
  <si>
    <t>24E11-P1-PI-1006</t>
  </si>
  <si>
    <t>PL-0417-4"-150A1</t>
  </si>
  <si>
    <t>PL-0420-4"-150A1</t>
  </si>
  <si>
    <t>PL-0421-4"-150A1</t>
  </si>
  <si>
    <t>TLA-401</t>
  </si>
  <si>
    <t>TLA-402</t>
  </si>
  <si>
    <t>TLA-403</t>
  </si>
  <si>
    <t>TLA-404</t>
  </si>
  <si>
    <t>TLA-405</t>
  </si>
  <si>
    <t>TLA-406</t>
  </si>
  <si>
    <t>TLA-407</t>
  </si>
  <si>
    <t>TLA-408</t>
  </si>
  <si>
    <t>TLB 1</t>
  </si>
  <si>
    <t>TLB 2</t>
  </si>
  <si>
    <t>TLB 3</t>
  </si>
  <si>
    <t>TLB 4</t>
  </si>
  <si>
    <t>TLB 5</t>
  </si>
  <si>
    <t>TLB 6</t>
  </si>
  <si>
    <t>TLB 7</t>
  </si>
  <si>
    <t>TLB 8</t>
  </si>
  <si>
    <t>04FI0101</t>
  </si>
  <si>
    <t>04FI0201</t>
  </si>
  <si>
    <t>04FI0301</t>
  </si>
  <si>
    <t>04FI0401</t>
  </si>
  <si>
    <t xml:space="preserve">PLR-402 To Tuck Loading Bay 1 Line Flow </t>
    <phoneticPr fontId="8" type="noConversion"/>
  </si>
  <si>
    <t>PLR-402 To Tuck Loading Bay 2 Line Flow</t>
  </si>
  <si>
    <t>04LAHH0101</t>
  </si>
  <si>
    <t>04LAHH0201</t>
  </si>
  <si>
    <t>04LAHH0301</t>
  </si>
  <si>
    <t>04LAHH0401</t>
  </si>
  <si>
    <t>04PI0001</t>
    <phoneticPr fontId="8" type="noConversion"/>
  </si>
  <si>
    <t>04ED0001</t>
  </si>
  <si>
    <t>04ED0002</t>
  </si>
  <si>
    <t>04ED0003</t>
  </si>
  <si>
    <t>04ED0004</t>
  </si>
  <si>
    <t>P-401 Discharge Pressure</t>
    <phoneticPr fontId="8" type="noConversion"/>
  </si>
  <si>
    <t xml:space="preserve">P-401 </t>
    <phoneticPr fontId="8" type="noConversion"/>
  </si>
  <si>
    <t>04LAHH0501</t>
  </si>
  <si>
    <t>04LAHH0601</t>
  </si>
  <si>
    <t>04LAHH0701</t>
  </si>
  <si>
    <t>04LAHH0801</t>
  </si>
  <si>
    <t>04ED0005</t>
  </si>
  <si>
    <t>04ED0006</t>
  </si>
  <si>
    <t>04ED0007</t>
  </si>
  <si>
    <t>04ED0008</t>
  </si>
  <si>
    <t xml:space="preserve">PLR-402 To Truck Loading Bay 1 Line Temperature </t>
  </si>
  <si>
    <t xml:space="preserve">PLR-402 To Truck Loading Bay 2 Line Temperature </t>
  </si>
  <si>
    <t xml:space="preserve">PLR-403 To Truck Loading Bay 3 Line Temperature </t>
  </si>
  <si>
    <t>PLR-403 To Truck Loading Bay 4 Line Temperature</t>
  </si>
  <si>
    <t xml:space="preserve">PLR-404 To Truck Loading Bay 5 Line Temperature </t>
  </si>
  <si>
    <t xml:space="preserve">PLR-404 To Truck Loading Bay 6 Line Temperature </t>
  </si>
  <si>
    <t xml:space="preserve">PLR-405 To Truck Loading Bay 7 Line Temperature </t>
  </si>
  <si>
    <t>PLR-405 To Truck Loading Bay 8 Line Temperature</t>
  </si>
  <si>
    <t xml:space="preserve">PLR-402 To Truck Loading Bay 1 Line Pressure </t>
  </si>
  <si>
    <t>04FI0501</t>
  </si>
  <si>
    <t>04FI0601</t>
  </si>
  <si>
    <t>04FI0701</t>
  </si>
  <si>
    <t>04FI0801</t>
  </si>
  <si>
    <t>01-MOV-0102 Opening Position Feedback</t>
  </si>
  <si>
    <t>01-MOV-0202 Opening Position Feedback</t>
  </si>
  <si>
    <t>01-MOV-0302 Opening Position Feedback</t>
  </si>
  <si>
    <t>01-MOV-0402 Opening Position Feedback</t>
  </si>
  <si>
    <t>01-MOV-0502 Opening Position Feedback</t>
  </si>
  <si>
    <t>01-MOV-0602 Opening Position Feedback</t>
  </si>
  <si>
    <t>01-MOV-0702 Opening Position Feedback</t>
  </si>
  <si>
    <t>01-MOV-0802 Opening Position Feedback</t>
  </si>
  <si>
    <t>AO</t>
    <phoneticPr fontId="8" type="noConversion"/>
  </si>
  <si>
    <t>AI</t>
    <phoneticPr fontId="8" type="noConversion"/>
  </si>
  <si>
    <t>Loop Powered</t>
  </si>
  <si>
    <t>04TI0101</t>
  </si>
  <si>
    <t>04TI0201</t>
  </si>
  <si>
    <t>04TI0301</t>
  </si>
  <si>
    <t>04TI0401</t>
  </si>
  <si>
    <t>04TI0501</t>
  </si>
  <si>
    <t>04TI0601</t>
  </si>
  <si>
    <t>04TI0701</t>
  </si>
  <si>
    <t>04TI0801</t>
  </si>
  <si>
    <t>04PI0101</t>
  </si>
  <si>
    <t>04PI0201</t>
  </si>
  <si>
    <t>04PI0301</t>
  </si>
  <si>
    <t>04PI0401</t>
  </si>
  <si>
    <t>04PI0501</t>
  </si>
  <si>
    <t>04PI0601</t>
  </si>
  <si>
    <t>04PI0701</t>
  </si>
  <si>
    <t>04PI0801</t>
  </si>
  <si>
    <t xml:space="preserve">PLR-404 To Truck Loading Bay 5 Line Pressure </t>
  </si>
  <si>
    <t xml:space="preserve">PLR-404 To Truck Loading Bay 6 Line Pressure </t>
  </si>
  <si>
    <t xml:space="preserve">PLR-405 To Truck Loading Bay 7 Line Pressure </t>
  </si>
  <si>
    <t>PLR-405 To Truck Loading Bay 8 Line Pressure</t>
  </si>
  <si>
    <t xml:space="preserve">PLR-403 To Truck Loading Bay 3 Line Pressure </t>
  </si>
  <si>
    <t>PLR-403 To Truck Loading Bay 4 Line Pressure</t>
  </si>
  <si>
    <t xml:space="preserve">PLR-402 To Truck Loading Bay 2 Line Pressure </t>
    <phoneticPr fontId="8" type="noConversion"/>
  </si>
  <si>
    <t>01-MOV-0503 Fully Closed</t>
    <phoneticPr fontId="8" type="noConversion"/>
  </si>
  <si>
    <t>01-MOV-0503 Fully Open</t>
    <phoneticPr fontId="8" type="noConversion"/>
  </si>
  <si>
    <t>Local/Remote/Off Switch</t>
  </si>
  <si>
    <t>03-MOV-0001 Open Command</t>
    <phoneticPr fontId="8" type="noConversion"/>
  </si>
  <si>
    <t>03-MOV-0001 Close Command</t>
    <phoneticPr fontId="8" type="noConversion"/>
  </si>
  <si>
    <t xml:space="preserve"> Closed</t>
  </si>
  <si>
    <t>Local/Off</t>
  </si>
  <si>
    <t xml:space="preserve">44-TLA-002 Overfilling Protection </t>
    <phoneticPr fontId="8" type="noConversion"/>
  </si>
  <si>
    <t>TLA-401 Overfilling Protection</t>
    <phoneticPr fontId="8" type="noConversion"/>
  </si>
  <si>
    <t>TLA-402 Overfilling Protection</t>
  </si>
  <si>
    <t>TLA-403 Overfilling Protection</t>
  </si>
  <si>
    <t>TLA-404 Overfilling Protection</t>
  </si>
  <si>
    <t>TLA-405 Overfilling Protection</t>
  </si>
  <si>
    <t>TLA-406 Overfilling Protection</t>
  </si>
  <si>
    <t>TLA-407 Overfilling Protection</t>
  </si>
  <si>
    <t>TLA-408 Overfilling Protection</t>
  </si>
  <si>
    <t>TLB 1 Grouding Unit</t>
    <phoneticPr fontId="8" type="noConversion"/>
  </si>
  <si>
    <t>TLB 2 Grouding Unit</t>
  </si>
  <si>
    <t>TLB 3 Grouding Unit</t>
  </si>
  <si>
    <t>TLB 4 Grouding Unit</t>
  </si>
  <si>
    <t>TLB 5 Grouding Unit</t>
  </si>
  <si>
    <t>TLB 6 Grouding Unit</t>
  </si>
  <si>
    <t>TLB 7 Grouding Unit</t>
  </si>
  <si>
    <t>TLB 8 Grouding Unit</t>
  </si>
  <si>
    <t>04ZC0101</t>
  </si>
  <si>
    <t>04-ZC-0101</t>
  </si>
  <si>
    <t>04-FCV-0101 Opening Control</t>
  </si>
  <si>
    <t>04ZI0101</t>
  </si>
  <si>
    <t>04-ZT-0101</t>
  </si>
  <si>
    <t>04-FCV-0101 Opening Position Feedback</t>
  </si>
  <si>
    <t>04ZC0201</t>
  </si>
  <si>
    <t>04-ZC-0201</t>
  </si>
  <si>
    <t>04-FCV-0201 Opening Control</t>
  </si>
  <si>
    <t>04ZI0201</t>
  </si>
  <si>
    <t>04-ZT-0201</t>
  </si>
  <si>
    <t>04-FCV-0201 Opening Position Feedback</t>
  </si>
  <si>
    <t>04ZC0301</t>
  </si>
  <si>
    <t>04-ZC-0301</t>
  </si>
  <si>
    <t>04-FCV-0301 Opening Control</t>
  </si>
  <si>
    <t>04ZI0301</t>
  </si>
  <si>
    <t>04-ZT-0301</t>
  </si>
  <si>
    <t>04-FCV-0301 Opening Position Feedback</t>
  </si>
  <si>
    <t>04ZC0401</t>
  </si>
  <si>
    <t>04-ZC-0401</t>
  </si>
  <si>
    <t>04-FCV-0401 Opening Control</t>
  </si>
  <si>
    <t>04ZI0401</t>
  </si>
  <si>
    <t>04-ZT-0401</t>
  </si>
  <si>
    <t>04-FCV-0401 Opening Position Feedback</t>
  </si>
  <si>
    <t>04ZC0501</t>
  </si>
  <si>
    <t>04-ZC-0501</t>
  </si>
  <si>
    <t>04-FCV-0501 Opening Control</t>
  </si>
  <si>
    <t>04ZI0501</t>
  </si>
  <si>
    <t>04-ZT-0501</t>
  </si>
  <si>
    <t>04-FCV-0501 Opening Position Feedback</t>
  </si>
  <si>
    <t>04ZC0601</t>
  </si>
  <si>
    <t>04-ZC-0601</t>
  </si>
  <si>
    <t>04-FCV-0601 Opening Control</t>
  </si>
  <si>
    <t>04ZI0601</t>
  </si>
  <si>
    <t>04-ZT-0601</t>
  </si>
  <si>
    <t>04-FCV-0601 Opening Position Feedback</t>
  </si>
  <si>
    <t>04ZC0701</t>
  </si>
  <si>
    <t>04-ZC-0701</t>
  </si>
  <si>
    <t>04-FCV-0701 Opening Control</t>
  </si>
  <si>
    <t>04ZI0701</t>
  </si>
  <si>
    <t>04-ZT-0701</t>
  </si>
  <si>
    <t>04-FCV-0701 Opening Position Feedback</t>
  </si>
  <si>
    <t>04ZC0801</t>
  </si>
  <si>
    <t>04-ZC-0801</t>
  </si>
  <si>
    <t>04-FCV-0801 Opening Control</t>
  </si>
  <si>
    <t>04ZI0801</t>
  </si>
  <si>
    <t>04-ZT-0801</t>
  </si>
  <si>
    <t>04-FCV-0801 Opening Position Feedback</t>
  </si>
  <si>
    <t>04ZLL0101</t>
  </si>
  <si>
    <t>04-ZSL-0101</t>
  </si>
  <si>
    <t>04-MOV-0101 Fully Closed</t>
  </si>
  <si>
    <t>04ZLH0101</t>
  </si>
  <si>
    <t>04-ZSH-0101</t>
  </si>
  <si>
    <t>04-MOV-0101 Fully Open</t>
  </si>
  <si>
    <t>04XS0101</t>
  </si>
  <si>
    <t>04-HS-0101</t>
  </si>
  <si>
    <t>04HSC0101</t>
  </si>
  <si>
    <t>04-MOV-0101 Close Command</t>
  </si>
  <si>
    <t>04HSO0101</t>
  </si>
  <si>
    <t>04-MOV-0101 Open Command</t>
  </si>
  <si>
    <t>04ZLL0201</t>
  </si>
  <si>
    <t>04-ZSL-0201</t>
  </si>
  <si>
    <t>04-MOV-0201 Fully Closed</t>
  </si>
  <si>
    <t>04ZLH0201</t>
  </si>
  <si>
    <t>04-ZSH-0201</t>
  </si>
  <si>
    <t>04-MOV-0201 Fully Open</t>
  </si>
  <si>
    <t>04XS0201</t>
  </si>
  <si>
    <t>04-HS-0201</t>
  </si>
  <si>
    <t>04HSC0201</t>
  </si>
  <si>
    <t>04-MOV-0201 Close Command</t>
  </si>
  <si>
    <t>04HSO0201</t>
  </si>
  <si>
    <t>04-MOV-0201 Open Command</t>
  </si>
  <si>
    <t>04ZLL0301</t>
  </si>
  <si>
    <t>04-ZSL-0301</t>
  </si>
  <si>
    <t>04-MOV-0301 Fully Closed</t>
  </si>
  <si>
    <t>04ZLH0301</t>
  </si>
  <si>
    <t>04-ZSH-0301</t>
  </si>
  <si>
    <t>04-MOV-0301 Fully Open</t>
  </si>
  <si>
    <t>04XS0301</t>
  </si>
  <si>
    <t>04-HS-0301</t>
  </si>
  <si>
    <t>04HSC0301</t>
  </si>
  <si>
    <t>04-MOV-0301 Close Command</t>
  </si>
  <si>
    <t>04HSO0301</t>
  </si>
  <si>
    <t>04-MOV-0301 Open Command</t>
  </si>
  <si>
    <t>04ZLL0401</t>
  </si>
  <si>
    <t>04-ZSL-0401</t>
  </si>
  <si>
    <t>04-MOV-0401 Fully Closed</t>
  </si>
  <si>
    <t>04ZLH0401</t>
  </si>
  <si>
    <t>04-ZSH-0401</t>
  </si>
  <si>
    <t>04-MOV-0401 Fully Open</t>
  </si>
  <si>
    <t>04XS0401</t>
  </si>
  <si>
    <t>04-HS-0401</t>
  </si>
  <si>
    <t>04HSC0401</t>
  </si>
  <si>
    <t>04-MOV-0401 Close Command</t>
  </si>
  <si>
    <t>04HSO0401</t>
  </si>
  <si>
    <t>04-MOV-0401 Open Command</t>
  </si>
  <si>
    <t>04ZLL0501</t>
  </si>
  <si>
    <t>04-ZSL-0501</t>
  </si>
  <si>
    <t>04-MOV-0501 Fully Closed</t>
  </si>
  <si>
    <t>04ZLH0501</t>
  </si>
  <si>
    <t>04-ZSH-0501</t>
  </si>
  <si>
    <t>04-MOV-0501 Fully Open</t>
  </si>
  <si>
    <t>04XS0501</t>
  </si>
  <si>
    <t>04-HS-0501</t>
  </si>
  <si>
    <t>04HSC0501</t>
  </si>
  <si>
    <t>04-MOV-0501 Close Command</t>
  </si>
  <si>
    <t>04HSO0501</t>
  </si>
  <si>
    <t>04-MOV-0501 Open Command</t>
  </si>
  <si>
    <t>04ZLL0601</t>
  </si>
  <si>
    <t>04-ZSL-0601</t>
  </si>
  <si>
    <t>04-MOV-0601 Fully Closed</t>
  </si>
  <si>
    <t>04ZLH0601</t>
  </si>
  <si>
    <t>04-ZSH-0601</t>
  </si>
  <si>
    <t>04-MOV-0601 Fully Open</t>
  </si>
  <si>
    <t>04XS0601</t>
  </si>
  <si>
    <t>04-HS-0601</t>
  </si>
  <si>
    <t>04HSC0601</t>
  </si>
  <si>
    <t>04-MOV-0601 Close Command</t>
  </si>
  <si>
    <t>04HSO0601</t>
  </si>
  <si>
    <t>04-MOV-0601 Open Command</t>
  </si>
  <si>
    <t>04ZLL0701</t>
  </si>
  <si>
    <t>04-ZSL-0701</t>
  </si>
  <si>
    <t>04-MOV-0701 Fully Closed</t>
  </si>
  <si>
    <t>04ZLH0701</t>
  </si>
  <si>
    <t>04-ZSH-0701</t>
  </si>
  <si>
    <t>04-MOV-0701 Fully Open</t>
  </si>
  <si>
    <t>04XS0701</t>
  </si>
  <si>
    <t>04-HS-0701</t>
  </si>
  <si>
    <t>04HSC0701</t>
  </si>
  <si>
    <t>04-MOV-0701 Close Command</t>
  </si>
  <si>
    <t>04HSO0701</t>
  </si>
  <si>
    <t>04-MOV-0701 Open Command</t>
  </si>
  <si>
    <t>04ZLL0801</t>
  </si>
  <si>
    <t>04-ZSL-0801</t>
  </si>
  <si>
    <t>04-MOV-0801 Fully Closed</t>
  </si>
  <si>
    <t>04ZLH0801</t>
  </si>
  <si>
    <t>04-ZSH-0801</t>
  </si>
  <si>
    <t>04-MOV-0801 Fully Open</t>
  </si>
  <si>
    <t>04XS0801</t>
  </si>
  <si>
    <t>04-HS-0801</t>
  </si>
  <si>
    <t>04HSC0801</t>
  </si>
  <si>
    <t>04-MOV-0801 Close Command</t>
  </si>
  <si>
    <t>04HSO0801</t>
  </si>
  <si>
    <t>04-MOV-0801 Open Command</t>
  </si>
  <si>
    <t xml:space="preserve">PLR-404 To Truck Loading Bay 5 Line Flow </t>
  </si>
  <si>
    <t xml:space="preserve">PLR-404 To Truck Loading Bay 6 Line Flow </t>
  </si>
  <si>
    <t xml:space="preserve">PLR-405 To Truck Loading Bay 7 Line Flow </t>
  </si>
  <si>
    <t>PLR-405 To Truck Loading Bay 8 Line Flow</t>
  </si>
  <si>
    <t xml:space="preserve">PLR-403 To Tuck Loading Bay 3 Line Flow </t>
    <phoneticPr fontId="8" type="noConversion"/>
  </si>
  <si>
    <t>PLR-403 To Tuck Loading Bay 4 Line Flow</t>
    <phoneticPr fontId="8" type="noConversion"/>
  </si>
  <si>
    <t>01-TT-0001</t>
  </si>
  <si>
    <t>01-TT-0002</t>
  </si>
  <si>
    <t>01-TT-0003</t>
  </si>
  <si>
    <t>01-TT-0004</t>
  </si>
  <si>
    <t>01-TT-0005</t>
  </si>
  <si>
    <t>01-TT-0006</t>
  </si>
  <si>
    <t>01-TT-0007</t>
  </si>
  <si>
    <t>04-TT-0001</t>
  </si>
  <si>
    <t>01-LSL-0001</t>
  </si>
  <si>
    <t>01-LSL-0002</t>
  </si>
  <si>
    <t>01-LSL-0003</t>
  </si>
  <si>
    <t>01-LSL-0004</t>
  </si>
  <si>
    <t>01-LSL-0005</t>
  </si>
  <si>
    <t>01-LSL-0006</t>
  </si>
  <si>
    <t>01-PT-0001</t>
  </si>
  <si>
    <t>01-PT-0002</t>
  </si>
  <si>
    <t>01-PT-0003</t>
  </si>
  <si>
    <t>01-PT-0004</t>
  </si>
  <si>
    <t>01-PT-0005</t>
  </si>
  <si>
    <t>01-PT-0006</t>
  </si>
  <si>
    <t>01-PT-0007</t>
  </si>
  <si>
    <t>P-101</t>
  </si>
  <si>
    <t>24E11-P1-PI-1004</t>
  </si>
  <si>
    <t>P-102</t>
  </si>
  <si>
    <t>P-103</t>
  </si>
  <si>
    <t>P-104</t>
  </si>
  <si>
    <t>P-105</t>
  </si>
  <si>
    <t>P-106</t>
  </si>
  <si>
    <t>P-107</t>
  </si>
  <si>
    <t>P-401</t>
  </si>
  <si>
    <t>01TI0001</t>
  </si>
  <si>
    <t>01TI0002</t>
  </si>
  <si>
    <t>01TI0003</t>
  </si>
  <si>
    <t>01TI0004</t>
  </si>
  <si>
    <t>01TI0005</t>
  </si>
  <si>
    <t>01TI0006</t>
  </si>
  <si>
    <t>01TI0007</t>
  </si>
  <si>
    <t>04TI0001</t>
  </si>
  <si>
    <t>01PI0001</t>
  </si>
  <si>
    <t>01PI0002</t>
  </si>
  <si>
    <t>01PI0003</t>
  </si>
  <si>
    <t>01PI0004</t>
  </si>
  <si>
    <t>01PI0005</t>
  </si>
  <si>
    <t>01PI0006</t>
  </si>
  <si>
    <t>01PI0007</t>
  </si>
  <si>
    <t>01LSL0001</t>
  </si>
  <si>
    <t>01LSL0002</t>
  </si>
  <si>
    <t>01LSL0003</t>
  </si>
  <si>
    <t>01LSL0004</t>
  </si>
  <si>
    <t>01LSL0005</t>
  </si>
  <si>
    <t>01LSL0006</t>
  </si>
  <si>
    <t xml:space="preserve">P-101 Discharge Pressure </t>
  </si>
  <si>
    <t xml:space="preserve">P-102 Discharge Pressure </t>
  </si>
  <si>
    <t xml:space="preserve">P-103 Discharge Pressure </t>
  </si>
  <si>
    <t xml:space="preserve">P-104 Discharge Pressure </t>
  </si>
  <si>
    <t xml:space="preserve">P-105 Discharge Pressure </t>
  </si>
  <si>
    <t xml:space="preserve">P-106 Discharge Pressure </t>
  </si>
  <si>
    <t xml:space="preserve">P-107 Discharge Pressure </t>
  </si>
  <si>
    <t>L Level</t>
    <phoneticPr fontId="8" type="noConversion"/>
  </si>
  <si>
    <t>INSTRUMENT I/O FOR FIRE FIGHTING SYSTEM</t>
    <phoneticPr fontId="8" type="noConversion"/>
  </si>
  <si>
    <t>07-FT-0001</t>
  </si>
  <si>
    <t>07-LT-0101</t>
  </si>
  <si>
    <t>07-PT-0001</t>
  </si>
  <si>
    <t>07-LSL-0101</t>
  </si>
  <si>
    <t>07-LSL-0201</t>
  </si>
  <si>
    <t>FW-0001-4"-150B</t>
  </si>
  <si>
    <t>24E11-P1-PI-1010</t>
  </si>
  <si>
    <t>T-701</t>
  </si>
  <si>
    <t>FW-0014-6"-150B</t>
  </si>
  <si>
    <t>P-701</t>
  </si>
  <si>
    <t>P-702</t>
  </si>
  <si>
    <t>Municipal Water To T-701 Line Flow</t>
    <phoneticPr fontId="8" type="noConversion"/>
  </si>
  <si>
    <t>T-701 Level</t>
    <phoneticPr fontId="8" type="noConversion"/>
  </si>
  <si>
    <t>Firefighting Water Suppy Bus  Pressure</t>
    <phoneticPr fontId="8" type="noConversion"/>
  </si>
  <si>
    <t xml:space="preserve">P-701 Diesel Oil Tank Low Level Protection </t>
    <phoneticPr fontId="8" type="noConversion"/>
  </si>
  <si>
    <t xml:space="preserve">P-702 Diesel Oil Tank Low Level Protection </t>
    <phoneticPr fontId="8" type="noConversion"/>
  </si>
  <si>
    <t>07FI0001</t>
  </si>
  <si>
    <t>07LI0101</t>
  </si>
  <si>
    <t>07PI0001</t>
  </si>
  <si>
    <t>07LSL0101</t>
  </si>
  <si>
    <t>07LSL0201</t>
  </si>
  <si>
    <t>08-LT-0101</t>
  </si>
  <si>
    <t>08-TT-0001</t>
  </si>
  <si>
    <t>08-TT-0002</t>
  </si>
  <si>
    <t>08-TT-0003</t>
  </si>
  <si>
    <t>08LI0101</t>
  </si>
  <si>
    <t>08TI0001</t>
  </si>
  <si>
    <t>08TI0002</t>
  </si>
  <si>
    <t>08TI0003</t>
  </si>
  <si>
    <t>T-801</t>
  </si>
  <si>
    <t>24E11-P1-PI-1009</t>
  </si>
  <si>
    <t>T-801 Level</t>
    <phoneticPr fontId="8" type="noConversion"/>
  </si>
  <si>
    <t>B-801</t>
    <phoneticPr fontId="8" type="noConversion"/>
  </si>
  <si>
    <t>B-801 Discharge Temperature</t>
    <phoneticPr fontId="8" type="noConversion"/>
  </si>
  <si>
    <t>B-801 Suction Temperature</t>
    <phoneticPr fontId="8" type="noConversion"/>
  </si>
  <si>
    <t>V-801</t>
    <phoneticPr fontId="8" type="noConversion"/>
  </si>
  <si>
    <t>08-LSL-0001</t>
    <phoneticPr fontId="8" type="noConversion"/>
  </si>
  <si>
    <t>08-LSH-0001</t>
    <phoneticPr fontId="8" type="noConversion"/>
  </si>
  <si>
    <t>V-801 Low Level Protection</t>
    <phoneticPr fontId="8" type="noConversion"/>
  </si>
  <si>
    <t>V-801 High Level Protection</t>
    <phoneticPr fontId="8" type="noConversion"/>
  </si>
  <si>
    <t>H Level</t>
    <phoneticPr fontId="8" type="noConversion"/>
  </si>
  <si>
    <t>T-801 Discharge Temperature</t>
    <phoneticPr fontId="8" type="noConversion"/>
  </si>
  <si>
    <t>05-FT-0001</t>
  </si>
  <si>
    <t>05-LT-0101</t>
  </si>
  <si>
    <t>05-PT-0001</t>
  </si>
  <si>
    <t>05-PS-0001</t>
  </si>
  <si>
    <t>24E11-P1-PI-1007</t>
  </si>
  <si>
    <t>24E11-P1-PI-1007</t>
    <phoneticPr fontId="8" type="noConversion"/>
  </si>
  <si>
    <t>05FI0001</t>
    <phoneticPr fontId="8" type="noConversion"/>
  </si>
  <si>
    <t>Municipal Water To T-501 Line Flow</t>
    <phoneticPr fontId="8" type="noConversion"/>
  </si>
  <si>
    <t>T-501</t>
    <phoneticPr fontId="8" type="noConversion"/>
  </si>
  <si>
    <t>05LI0101</t>
    <phoneticPr fontId="8" type="noConversion"/>
  </si>
  <si>
    <t>T-501 Level</t>
    <phoneticPr fontId="8" type="noConversion"/>
  </si>
  <si>
    <t>05PA0001</t>
    <phoneticPr fontId="8" type="noConversion"/>
  </si>
  <si>
    <t>05PI0001</t>
    <phoneticPr fontId="8" type="noConversion"/>
  </si>
  <si>
    <t>Potable Water Suppy Bus  Pressure</t>
    <phoneticPr fontId="8" type="noConversion"/>
  </si>
  <si>
    <t>PW-0009-3"-150A3</t>
    <phoneticPr fontId="8" type="noConversion"/>
  </si>
  <si>
    <t>Potable Water Suppy Bus  H/L Pressure Protection</t>
    <phoneticPr fontId="8" type="noConversion"/>
  </si>
  <si>
    <t xml:space="preserve">H/L </t>
    <phoneticPr fontId="8" type="noConversion"/>
  </si>
  <si>
    <t>06-PT-0001</t>
  </si>
  <si>
    <t>06-PT-0002</t>
  </si>
  <si>
    <t>24E11-P1-PI-1008</t>
  </si>
  <si>
    <t>06PI0001</t>
    <phoneticPr fontId="8" type="noConversion"/>
  </si>
  <si>
    <t>V-601</t>
    <phoneticPr fontId="8" type="noConversion"/>
  </si>
  <si>
    <t>V-601 Pressure</t>
    <phoneticPr fontId="8" type="noConversion"/>
  </si>
  <si>
    <t>V-602</t>
    <phoneticPr fontId="8" type="noConversion"/>
  </si>
  <si>
    <t>V-602 Pressure</t>
    <phoneticPr fontId="8" type="noConversion"/>
  </si>
  <si>
    <t>06PI0002</t>
  </si>
  <si>
    <t>06XA0001</t>
    <phoneticPr fontId="8" type="noConversion"/>
  </si>
  <si>
    <t>06ZI0001</t>
    <phoneticPr fontId="8" type="noConversion"/>
  </si>
  <si>
    <t>06XI001</t>
    <phoneticPr fontId="8" type="noConversion"/>
  </si>
  <si>
    <t>06-XA-0001</t>
    <phoneticPr fontId="8" type="noConversion"/>
  </si>
  <si>
    <t>06-ZI-0001</t>
    <phoneticPr fontId="8" type="noConversion"/>
  </si>
  <si>
    <t>06-XI-0001</t>
    <phoneticPr fontId="8" type="noConversion"/>
  </si>
  <si>
    <t>C-601 Fault</t>
    <phoneticPr fontId="8" type="noConversion"/>
  </si>
  <si>
    <t>C-602 Fault</t>
  </si>
  <si>
    <t>C-601 Running/Stop</t>
    <phoneticPr fontId="8" type="noConversion"/>
  </si>
  <si>
    <t>C-601 Loading/unloading</t>
    <phoneticPr fontId="8" type="noConversion"/>
  </si>
  <si>
    <t>C-601</t>
    <phoneticPr fontId="8" type="noConversion"/>
  </si>
  <si>
    <t>Fault</t>
    <phoneticPr fontId="8" type="noConversion"/>
  </si>
  <si>
    <t>Running</t>
    <phoneticPr fontId="8" type="noConversion"/>
  </si>
  <si>
    <t>Stop</t>
    <phoneticPr fontId="8" type="noConversion"/>
  </si>
  <si>
    <t>Loading</t>
    <phoneticPr fontId="8" type="noConversion"/>
  </si>
  <si>
    <t>Unloading</t>
    <phoneticPr fontId="8" type="noConversion"/>
  </si>
  <si>
    <t>C-602</t>
  </si>
  <si>
    <t>C-602 Running/Stop</t>
  </si>
  <si>
    <t>C-602 Loading/unloading</t>
  </si>
  <si>
    <t>P-101</t>
    <phoneticPr fontId="8" type="noConversion"/>
  </si>
  <si>
    <t>Remote/Off/Local Switch</t>
    <phoneticPr fontId="8" type="noConversion"/>
  </si>
  <si>
    <t>Start/Stop Switch</t>
    <phoneticPr fontId="8" type="noConversion"/>
  </si>
  <si>
    <t>Running/Trip</t>
    <phoneticPr fontId="8" type="noConversion"/>
  </si>
  <si>
    <t>Start</t>
    <phoneticPr fontId="8" type="noConversion"/>
  </si>
  <si>
    <t>Trip</t>
    <phoneticPr fontId="8" type="noConversion"/>
  </si>
  <si>
    <t>VSD Speed Control</t>
    <phoneticPr fontId="8" type="noConversion"/>
  </si>
  <si>
    <t>VSD Speed Indication</t>
    <phoneticPr fontId="8" type="noConversion"/>
  </si>
  <si>
    <t>P-501</t>
  </si>
  <si>
    <t>P-501</t>
    <phoneticPr fontId="8" type="noConversion"/>
  </si>
  <si>
    <t>P-502</t>
  </si>
  <si>
    <t>Running Status</t>
    <phoneticPr fontId="8" type="noConversion"/>
  </si>
  <si>
    <t>Duty Status</t>
    <phoneticPr fontId="8" type="noConversion"/>
  </si>
  <si>
    <t>Standby Status</t>
    <phoneticPr fontId="8" type="noConversion"/>
  </si>
  <si>
    <t>Trip Status</t>
    <phoneticPr fontId="8" type="noConversion"/>
  </si>
  <si>
    <t>Duty</t>
    <phoneticPr fontId="8" type="noConversion"/>
  </si>
  <si>
    <t>Standby</t>
    <phoneticPr fontId="8" type="noConversion"/>
  </si>
  <si>
    <t>01HS0001A</t>
  </si>
  <si>
    <t>01-HS-0001A</t>
  </si>
  <si>
    <t>01-HS-0001B</t>
  </si>
  <si>
    <t>01HS0001C</t>
  </si>
  <si>
    <t>01-HS-0001C</t>
  </si>
  <si>
    <t>01SC0001</t>
  </si>
  <si>
    <t>01-SC-0001</t>
  </si>
  <si>
    <t>01HS0002A</t>
  </si>
  <si>
    <t>01-HS-0002A</t>
  </si>
  <si>
    <t>01HS0002C</t>
  </si>
  <si>
    <t>01-HS-0002C</t>
  </si>
  <si>
    <t>01SC0002</t>
  </si>
  <si>
    <t>01-SC-0002</t>
  </si>
  <si>
    <t>01HS0003A</t>
  </si>
  <si>
    <t>01-HS-0003A</t>
  </si>
  <si>
    <t>01HS0003C</t>
  </si>
  <si>
    <t>01-HS-0003C</t>
  </si>
  <si>
    <t>01SC0003</t>
  </si>
  <si>
    <t>01-SC-0003</t>
  </si>
  <si>
    <t>01HS0004A</t>
  </si>
  <si>
    <t>01-HS-0004A</t>
  </si>
  <si>
    <t>01HS0004C</t>
  </si>
  <si>
    <t>01-HS-0004C</t>
  </si>
  <si>
    <t>01SC0004</t>
  </si>
  <si>
    <t>01-SC-0004</t>
  </si>
  <si>
    <t>01HS0005A</t>
  </si>
  <si>
    <t>01-HS-0005A</t>
  </si>
  <si>
    <t>01HS0005C</t>
  </si>
  <si>
    <t>01-HS-0005C</t>
  </si>
  <si>
    <t>01SC0005</t>
  </si>
  <si>
    <t>01-SC-0005</t>
  </si>
  <si>
    <t>01HS0006A</t>
  </si>
  <si>
    <t>01-HS-0006A</t>
  </si>
  <si>
    <t>01HS0006C</t>
  </si>
  <si>
    <t>01-HS-0006C</t>
  </si>
  <si>
    <t>01SC0006</t>
  </si>
  <si>
    <t>01-SC-0006</t>
  </si>
  <si>
    <t>01HS0007A</t>
  </si>
  <si>
    <t>01-HS-0007A</t>
  </si>
  <si>
    <t>01HS0007C</t>
  </si>
  <si>
    <t>01-HS-0007C</t>
  </si>
  <si>
    <t>P-801</t>
  </si>
  <si>
    <t>P-802</t>
  </si>
  <si>
    <t>P-803</t>
  </si>
  <si>
    <t>P-804</t>
  </si>
  <si>
    <t>08-HS-0001A/B</t>
  </si>
  <si>
    <t>08-HS-0002A/B</t>
  </si>
  <si>
    <t>08-HS-0003A/B</t>
  </si>
  <si>
    <t>08-HS-0004A/B</t>
  </si>
  <si>
    <t>08-HS-B001</t>
  </si>
  <si>
    <t>JETTY</t>
    <phoneticPr fontId="8" type="noConversion"/>
  </si>
  <si>
    <t>INSTRUMENT I/O FOR POTABLE WATER SYSTEM</t>
    <phoneticPr fontId="8" type="noConversion"/>
  </si>
  <si>
    <t>INSTRUMENT I/O FOR PLANT AIR SYETEM</t>
    <phoneticPr fontId="8" type="noConversion"/>
  </si>
  <si>
    <t>TLB</t>
    <phoneticPr fontId="8" type="noConversion"/>
  </si>
  <si>
    <t>PUMP STATION</t>
    <phoneticPr fontId="8" type="noConversion"/>
  </si>
  <si>
    <t>POTABLE WATER SYS.</t>
    <phoneticPr fontId="8" type="noConversion"/>
  </si>
  <si>
    <t>HOT WATER SYS.</t>
    <phoneticPr fontId="8" type="noConversion"/>
  </si>
  <si>
    <t>PLANT AIR SYS.</t>
    <phoneticPr fontId="8" type="noConversion"/>
  </si>
  <si>
    <t>CLIENT:</t>
  </si>
  <si>
    <t xml:space="preserve">PT Marunda Tank Terminal </t>
    <phoneticPr fontId="13" type="noConversion"/>
  </si>
  <si>
    <t>CLIENT DOC NO.</t>
  </si>
  <si>
    <t>JOB NO.</t>
  </si>
  <si>
    <t>24E11</t>
  </si>
  <si>
    <t>PAGE NO.</t>
  </si>
  <si>
    <t xml:space="preserve">DESIGN ENGINEER: </t>
  </si>
  <si>
    <t>PROJECT TITLE</t>
  </si>
  <si>
    <t>PT Marunda Tank Terminal Storage Project</t>
  </si>
  <si>
    <t>A</t>
    <phoneticPr fontId="13" type="noConversion"/>
  </si>
  <si>
    <t>ISSUED FOR APPROVAL</t>
    <phoneticPr fontId="13" type="noConversion"/>
  </si>
  <si>
    <t>WYJ</t>
    <phoneticPr fontId="13" type="noConversion"/>
  </si>
  <si>
    <t>LXL</t>
    <phoneticPr fontId="13" type="noConversion"/>
  </si>
  <si>
    <t>APM</t>
    <phoneticPr fontId="13" type="noConversion"/>
  </si>
  <si>
    <t>Abraham International Process
Engineering Corp Pte. Ltd</t>
  </si>
  <si>
    <t>REV</t>
  </si>
  <si>
    <t>DATE</t>
  </si>
  <si>
    <t>DESCRIPTION</t>
  </si>
  <si>
    <t>PREPARED
BY</t>
  </si>
  <si>
    <t>CHECKED
BY</t>
  </si>
  <si>
    <t>APPROVED 
BY</t>
  </si>
  <si>
    <t>LOCATION</t>
  </si>
  <si>
    <t xml:space="preserve"> Tanah Abang, Jakarta Pusat, Indonesia </t>
  </si>
  <si>
    <t>INSTRUMENT I/O LIST</t>
    <phoneticPr fontId="13" type="noConversion"/>
  </si>
  <si>
    <t>24E11-J1-LI-1002</t>
    <phoneticPr fontId="13" type="noConversion"/>
  </si>
  <si>
    <t>05-HS-0001A/B</t>
  </si>
  <si>
    <t>05-HS-0002A/B</t>
  </si>
  <si>
    <t>TF-01</t>
    <phoneticPr fontId="8" type="noConversion"/>
  </si>
  <si>
    <t>Instrument I/O Summary</t>
    <phoneticPr fontId="8" type="noConversion"/>
  </si>
  <si>
    <t>01LALL0201</t>
  </si>
  <si>
    <t>01LALL0301</t>
  </si>
  <si>
    <t>01LALL0401</t>
  </si>
  <si>
    <t>01LALL0501</t>
  </si>
  <si>
    <t>01LALL0601</t>
  </si>
  <si>
    <t>01LALL0701</t>
  </si>
  <si>
    <t>01LALL0801</t>
  </si>
  <si>
    <t>01LALL0101</t>
  </si>
  <si>
    <t>HOLD</t>
    <phoneticPr fontId="8" type="noConversion"/>
  </si>
  <si>
    <t>P-101 Temperature</t>
    <phoneticPr fontId="8" type="noConversion"/>
  </si>
  <si>
    <t>P-102 Temperature</t>
  </si>
  <si>
    <t>P-103 Temperature</t>
  </si>
  <si>
    <t>P-104 Temperature</t>
  </si>
  <si>
    <t>P-105 Temperature</t>
  </si>
  <si>
    <t>P-106 Temperature</t>
  </si>
  <si>
    <t>P-107 Temperature</t>
  </si>
  <si>
    <t>P-401 Temperature</t>
    <phoneticPr fontId="8" type="noConversion"/>
  </si>
  <si>
    <t xml:space="preserve">P-101 Suction Low Level Protection </t>
    <phoneticPr fontId="8" type="noConversion"/>
  </si>
  <si>
    <t xml:space="preserve">P-103 Suction Low Level Protection </t>
  </si>
  <si>
    <t xml:space="preserve">P-104 Suction Low Level Protection </t>
  </si>
  <si>
    <t xml:space="preserve">P-105 Suction Low Level Protection </t>
  </si>
  <si>
    <t xml:space="preserve">P-106 Suction Low Level Protection </t>
  </si>
  <si>
    <t xml:space="preserve">P-102 Suction Low Level Protection </t>
  </si>
  <si>
    <t>06-XA-0002</t>
    <phoneticPr fontId="8" type="noConversion"/>
  </si>
  <si>
    <t>06-ZI-0002</t>
    <phoneticPr fontId="8" type="noConversion"/>
  </si>
  <si>
    <t>06-XI-0002</t>
    <phoneticPr fontId="8" type="noConversion"/>
  </si>
  <si>
    <t>06XA0002</t>
    <phoneticPr fontId="8" type="noConversion"/>
  </si>
  <si>
    <t>06ZI0002</t>
    <phoneticPr fontId="8" type="noConversion"/>
  </si>
  <si>
    <t>06XI002</t>
    <phoneticPr fontId="8" type="noConversion"/>
  </si>
  <si>
    <t>INSTRUMENT I/O FOR TANK FARM 01</t>
    <phoneticPr fontId="8" type="noConversion"/>
  </si>
  <si>
    <t>T-101 Radar Gauge Switch Output</t>
    <phoneticPr fontId="8" type="noConversion"/>
  </si>
  <si>
    <t>T-102 Radar Gauge Switch Output</t>
  </si>
  <si>
    <t>T-103 Radar Gauge Switch Output</t>
  </si>
  <si>
    <t>T-104 Radar Gauge Switch Output</t>
  </si>
  <si>
    <t>T-105 Radar Gauge Switch Output</t>
  </si>
  <si>
    <t>T-106 Radar Gauge Switch Output</t>
  </si>
  <si>
    <t>T-107 Radar Gauge Switch Output</t>
  </si>
  <si>
    <t>T-108 Radar Gauge Switch Output</t>
  </si>
  <si>
    <t>INSTRUMENT I/O FOR TRUCK LOADING AREA</t>
    <phoneticPr fontId="8" type="noConversion"/>
  </si>
  <si>
    <t>INSTRUMENT I/O FOR PUMP STATION 01</t>
    <phoneticPr fontId="8" type="noConversion"/>
  </si>
  <si>
    <t>INSTRUMENT I/O FOR HOT WATER SYSTEM</t>
    <phoneticPr fontId="8" type="noConversion"/>
  </si>
  <si>
    <t>DO</t>
    <phoneticPr fontId="8" type="noConversion"/>
  </si>
  <si>
    <t>23-01-2025</t>
    <phoneticPr fontId="13" type="noConversion"/>
  </si>
  <si>
    <t>DI</t>
    <phoneticPr fontId="8" type="noConversion"/>
  </si>
  <si>
    <t>01HS0001BA</t>
    <phoneticPr fontId="8" type="noConversion"/>
  </si>
  <si>
    <t>01HS0001BB</t>
    <phoneticPr fontId="8" type="noConversion"/>
  </si>
  <si>
    <t>Stop Switch</t>
    <phoneticPr fontId="8" type="noConversion"/>
  </si>
  <si>
    <t>01HS0002BA</t>
    <phoneticPr fontId="8" type="noConversion"/>
  </si>
  <si>
    <t>01HS0002BB</t>
    <phoneticPr fontId="8" type="noConversion"/>
  </si>
  <si>
    <t>01-HS-0002B</t>
    <phoneticPr fontId="8" type="noConversion"/>
  </si>
  <si>
    <t>P-102</t>
    <phoneticPr fontId="8" type="noConversion"/>
  </si>
  <si>
    <t>01HS0003BA</t>
    <phoneticPr fontId="8" type="noConversion"/>
  </si>
  <si>
    <t>01-HS-0003B</t>
    <phoneticPr fontId="8" type="noConversion"/>
  </si>
  <si>
    <t>P-103</t>
    <phoneticPr fontId="8" type="noConversion"/>
  </si>
  <si>
    <t>01HS0003BB</t>
    <phoneticPr fontId="8" type="noConversion"/>
  </si>
  <si>
    <t>01HS0004BA</t>
    <phoneticPr fontId="8" type="noConversion"/>
  </si>
  <si>
    <t>01-HS-0004B</t>
    <phoneticPr fontId="8" type="noConversion"/>
  </si>
  <si>
    <t>P-104</t>
    <phoneticPr fontId="8" type="noConversion"/>
  </si>
  <si>
    <t>01HS0004BB</t>
    <phoneticPr fontId="8" type="noConversion"/>
  </si>
  <si>
    <t>01HS0005BA</t>
    <phoneticPr fontId="8" type="noConversion"/>
  </si>
  <si>
    <t>01HS0005BB</t>
    <phoneticPr fontId="8" type="noConversion"/>
  </si>
  <si>
    <t>01-HS-0005B</t>
    <phoneticPr fontId="8" type="noConversion"/>
  </si>
  <si>
    <t>P-105</t>
    <phoneticPr fontId="8" type="noConversion"/>
  </si>
  <si>
    <t>Start Switch</t>
    <phoneticPr fontId="8" type="noConversion"/>
  </si>
  <si>
    <t>01HS0006BA</t>
    <phoneticPr fontId="8" type="noConversion"/>
  </si>
  <si>
    <t>01-HS-0006B</t>
    <phoneticPr fontId="8" type="noConversion"/>
  </si>
  <si>
    <t>P-106</t>
    <phoneticPr fontId="8" type="noConversion"/>
  </si>
  <si>
    <t>01HS0006BB</t>
    <phoneticPr fontId="8" type="noConversion"/>
  </si>
  <si>
    <t>01HS0007BA</t>
    <phoneticPr fontId="8" type="noConversion"/>
  </si>
  <si>
    <t>01-HS-0007B</t>
    <phoneticPr fontId="8" type="noConversion"/>
  </si>
  <si>
    <t>P-107</t>
    <phoneticPr fontId="8" type="noConversion"/>
  </si>
  <si>
    <t>01HS0007BB</t>
    <phoneticPr fontId="8" type="noConversion"/>
  </si>
  <si>
    <t>23-06-2025</t>
    <phoneticPr fontId="13" type="noConversion"/>
  </si>
  <si>
    <t>04HS0001A</t>
  </si>
  <si>
    <t>04-HS-0001A</t>
    <phoneticPr fontId="8" type="noConversion"/>
  </si>
  <si>
    <t>P-401</t>
    <phoneticPr fontId="8" type="noConversion"/>
  </si>
  <si>
    <t>24E11-P1-PI-1005</t>
    <phoneticPr fontId="8" type="noConversion"/>
  </si>
  <si>
    <t>04HS0001C</t>
    <phoneticPr fontId="8" type="noConversion"/>
  </si>
  <si>
    <t>04-HS-0001C</t>
    <phoneticPr fontId="8" type="noConversion"/>
  </si>
  <si>
    <t>APPROVED FOR DESIGN</t>
    <phoneticPr fontId="13" type="noConversion"/>
  </si>
  <si>
    <t>04-HS-0001B</t>
    <phoneticPr fontId="8" type="noConversion"/>
  </si>
  <si>
    <t>04HS0001BA</t>
    <phoneticPr fontId="8" type="noConversion"/>
  </si>
  <si>
    <t>04HS0001BB</t>
    <phoneticPr fontId="8" type="noConversion"/>
  </si>
  <si>
    <t>01XA0101</t>
    <phoneticPr fontId="8" type="noConversion"/>
  </si>
  <si>
    <t>01-XA-0101</t>
    <phoneticPr fontId="8" type="noConversion"/>
  </si>
  <si>
    <t>-</t>
    <phoneticPr fontId="8" type="noConversion"/>
  </si>
  <si>
    <t>Alarm</t>
    <phoneticPr fontId="8" type="noConversion"/>
  </si>
  <si>
    <t>01XA0102</t>
    <phoneticPr fontId="8" type="noConversion"/>
  </si>
  <si>
    <t>01-XA-0102</t>
    <phoneticPr fontId="8" type="noConversion"/>
  </si>
  <si>
    <t>01-MOV-0102</t>
    <phoneticPr fontId="8" type="noConversion"/>
  </si>
  <si>
    <t>01XA0103</t>
    <phoneticPr fontId="8" type="noConversion"/>
  </si>
  <si>
    <t>01-XA-0103</t>
    <phoneticPr fontId="8" type="noConversion"/>
  </si>
  <si>
    <t>01-MOV-0103</t>
    <phoneticPr fontId="8" type="noConversion"/>
  </si>
  <si>
    <t>01XA0201</t>
    <phoneticPr fontId="8" type="noConversion"/>
  </si>
  <si>
    <t>01-XA-0201</t>
    <phoneticPr fontId="8" type="noConversion"/>
  </si>
  <si>
    <t>01-MOV-0201</t>
    <phoneticPr fontId="8" type="noConversion"/>
  </si>
  <si>
    <t>01XA0202</t>
    <phoneticPr fontId="8" type="noConversion"/>
  </si>
  <si>
    <t>01-XA-0202</t>
    <phoneticPr fontId="8" type="noConversion"/>
  </si>
  <si>
    <t>01-MOV-0202</t>
    <phoneticPr fontId="8" type="noConversion"/>
  </si>
  <si>
    <t>01XA0203</t>
    <phoneticPr fontId="8" type="noConversion"/>
  </si>
  <si>
    <t>01-XA-0203</t>
    <phoneticPr fontId="8" type="noConversion"/>
  </si>
  <si>
    <t>01-MOV-0203</t>
    <phoneticPr fontId="8" type="noConversion"/>
  </si>
  <si>
    <t>01XA0301</t>
    <phoneticPr fontId="8" type="noConversion"/>
  </si>
  <si>
    <t>01-XA-0301</t>
    <phoneticPr fontId="8" type="noConversion"/>
  </si>
  <si>
    <t>01-MOV-0301</t>
    <phoneticPr fontId="8" type="noConversion"/>
  </si>
  <si>
    <t>01XA0302</t>
    <phoneticPr fontId="8" type="noConversion"/>
  </si>
  <si>
    <t>01-XA-0302</t>
    <phoneticPr fontId="8" type="noConversion"/>
  </si>
  <si>
    <t>01-MOV-0302</t>
    <phoneticPr fontId="8" type="noConversion"/>
  </si>
  <si>
    <t>01XA0303</t>
    <phoneticPr fontId="8" type="noConversion"/>
  </si>
  <si>
    <t>01-XA-0303</t>
    <phoneticPr fontId="8" type="noConversion"/>
  </si>
  <si>
    <t>01-MOV-0303</t>
    <phoneticPr fontId="8" type="noConversion"/>
  </si>
  <si>
    <t>01XA0401</t>
    <phoneticPr fontId="8" type="noConversion"/>
  </si>
  <si>
    <t>01-XA-0401</t>
    <phoneticPr fontId="8" type="noConversion"/>
  </si>
  <si>
    <t>01-MOV-0401</t>
    <phoneticPr fontId="8" type="noConversion"/>
  </si>
  <si>
    <t>01-XA-0402</t>
    <phoneticPr fontId="8" type="noConversion"/>
  </si>
  <si>
    <t>01XA0402</t>
    <phoneticPr fontId="8" type="noConversion"/>
  </si>
  <si>
    <t>01-MOV-0402</t>
    <phoneticPr fontId="8" type="noConversion"/>
  </si>
  <si>
    <t>01XA0403</t>
    <phoneticPr fontId="8" type="noConversion"/>
  </si>
  <si>
    <t>01-MOV-0403</t>
    <phoneticPr fontId="8" type="noConversion"/>
  </si>
  <si>
    <t>01XA0501</t>
    <phoneticPr fontId="8" type="noConversion"/>
  </si>
  <si>
    <t>01-XA-0501</t>
    <phoneticPr fontId="8" type="noConversion"/>
  </si>
  <si>
    <t>01-XA-0403</t>
    <phoneticPr fontId="8" type="noConversion"/>
  </si>
  <si>
    <t>01-MOV-0501</t>
    <phoneticPr fontId="8" type="noConversion"/>
  </si>
  <si>
    <t>24E11-P1-PI-1001</t>
    <phoneticPr fontId="8" type="noConversion"/>
  </si>
  <si>
    <t>01XA0502</t>
    <phoneticPr fontId="8" type="noConversion"/>
  </si>
  <si>
    <t>01-XA-0502</t>
    <phoneticPr fontId="8" type="noConversion"/>
  </si>
  <si>
    <t>01-MOV-0502</t>
    <phoneticPr fontId="8" type="noConversion"/>
  </si>
  <si>
    <t>01XA0503</t>
    <phoneticPr fontId="8" type="noConversion"/>
  </si>
  <si>
    <t>01-XA-0503</t>
    <phoneticPr fontId="8" type="noConversion"/>
  </si>
  <si>
    <t>01-MOV-0503</t>
    <phoneticPr fontId="8" type="noConversion"/>
  </si>
  <si>
    <t>01XA0601</t>
    <phoneticPr fontId="8" type="noConversion"/>
  </si>
  <si>
    <t>01-XA-0601</t>
    <phoneticPr fontId="8" type="noConversion"/>
  </si>
  <si>
    <t>01-MOV-0601</t>
    <phoneticPr fontId="8" type="noConversion"/>
  </si>
  <si>
    <t>01XA0602</t>
    <phoneticPr fontId="8" type="noConversion"/>
  </si>
  <si>
    <t>01-XA-0602</t>
    <phoneticPr fontId="8" type="noConversion"/>
  </si>
  <si>
    <t>01-MOV-0602</t>
    <phoneticPr fontId="8" type="noConversion"/>
  </si>
  <si>
    <t>01XA0603</t>
    <phoneticPr fontId="8" type="noConversion"/>
  </si>
  <si>
    <t>01-XA-0603</t>
    <phoneticPr fontId="8" type="noConversion"/>
  </si>
  <si>
    <t>01-MOV-0603</t>
    <phoneticPr fontId="8" type="noConversion"/>
  </si>
  <si>
    <t>01XA0701</t>
    <phoneticPr fontId="8" type="noConversion"/>
  </si>
  <si>
    <t>01-XA-0701</t>
    <phoneticPr fontId="8" type="noConversion"/>
  </si>
  <si>
    <t>01-MOV-0701</t>
    <phoneticPr fontId="8" type="noConversion"/>
  </si>
  <si>
    <t>01XA0702</t>
    <phoneticPr fontId="8" type="noConversion"/>
  </si>
  <si>
    <t>01-XA-0702</t>
    <phoneticPr fontId="8" type="noConversion"/>
  </si>
  <si>
    <t>01-MOV-0702</t>
    <phoneticPr fontId="8" type="noConversion"/>
  </si>
  <si>
    <r>
      <t>01XA070</t>
    </r>
    <r>
      <rPr>
        <i/>
        <sz val="10"/>
        <color rgb="FFFF0000"/>
        <rFont val="Arial"/>
        <family val="2"/>
      </rPr>
      <t>2</t>
    </r>
    <phoneticPr fontId="8" type="noConversion"/>
  </si>
  <si>
    <t>01-XA-0703</t>
    <phoneticPr fontId="8" type="noConversion"/>
  </si>
  <si>
    <t>01-MOV-0703</t>
    <phoneticPr fontId="8" type="noConversion"/>
  </si>
  <si>
    <t>01XA0801</t>
    <phoneticPr fontId="8" type="noConversion"/>
  </si>
  <si>
    <t>01-XA-0801</t>
    <phoneticPr fontId="8" type="noConversion"/>
  </si>
  <si>
    <t>01-MOV-0801</t>
    <phoneticPr fontId="8" type="noConversion"/>
  </si>
  <si>
    <t>01-XA-0802</t>
    <phoneticPr fontId="8" type="noConversion"/>
  </si>
  <si>
    <t>01XA0802</t>
    <phoneticPr fontId="8" type="noConversion"/>
  </si>
  <si>
    <t>01-MOV-0802</t>
    <phoneticPr fontId="8" type="noConversion"/>
  </si>
  <si>
    <t>01XA0803</t>
    <phoneticPr fontId="8" type="noConversion"/>
  </si>
  <si>
    <t>01-XA-0803</t>
    <phoneticPr fontId="8" type="noConversion"/>
  </si>
  <si>
    <t>01-MOV-0803</t>
    <phoneticPr fontId="8" type="noConversion"/>
  </si>
  <si>
    <t>03XA0001</t>
    <phoneticPr fontId="8" type="noConversion"/>
  </si>
  <si>
    <t>03-XA-0001</t>
    <phoneticPr fontId="8" type="noConversion"/>
  </si>
  <si>
    <t>03-MOV-0001</t>
    <phoneticPr fontId="8" type="noConversion"/>
  </si>
  <si>
    <t>04XA0101</t>
    <phoneticPr fontId="8" type="noConversion"/>
  </si>
  <si>
    <t>04-XA-0101</t>
    <phoneticPr fontId="8" type="noConversion"/>
  </si>
  <si>
    <t>04-MOV-0101</t>
    <phoneticPr fontId="8" type="noConversion"/>
  </si>
  <si>
    <t>24E11-P1-PI-1005</t>
    <phoneticPr fontId="8" type="noConversion"/>
  </si>
  <si>
    <t>24E11-P1-PI-1005</t>
    <phoneticPr fontId="8" type="noConversion"/>
  </si>
  <si>
    <t>04-XA-0201</t>
    <phoneticPr fontId="8" type="noConversion"/>
  </si>
  <si>
    <t>04XA0201</t>
    <phoneticPr fontId="8" type="noConversion"/>
  </si>
  <si>
    <t>04-MOV-0201</t>
    <phoneticPr fontId="8" type="noConversion"/>
  </si>
  <si>
    <t>04XA0301</t>
    <phoneticPr fontId="8" type="noConversion"/>
  </si>
  <si>
    <t>04-XA-0301</t>
    <phoneticPr fontId="8" type="noConversion"/>
  </si>
  <si>
    <t>04-MOV-0301</t>
    <phoneticPr fontId="8" type="noConversion"/>
  </si>
  <si>
    <t>04XA0401</t>
    <phoneticPr fontId="8" type="noConversion"/>
  </si>
  <si>
    <t>04-XA-0401</t>
    <phoneticPr fontId="8" type="noConversion"/>
  </si>
  <si>
    <t>04-MOV-0401</t>
    <phoneticPr fontId="8" type="noConversion"/>
  </si>
  <si>
    <t>04XA0501</t>
    <phoneticPr fontId="8" type="noConversion"/>
  </si>
  <si>
    <t>04-XA-0501</t>
    <phoneticPr fontId="8" type="noConversion"/>
  </si>
  <si>
    <t>04-MOV-0501</t>
    <phoneticPr fontId="8" type="noConversion"/>
  </si>
  <si>
    <t>24E11-P1-PI-1006</t>
    <phoneticPr fontId="8" type="noConversion"/>
  </si>
  <si>
    <t>04XA0601</t>
    <phoneticPr fontId="8" type="noConversion"/>
  </si>
  <si>
    <t>04-XA-0601</t>
    <phoneticPr fontId="8" type="noConversion"/>
  </si>
  <si>
    <t>04-MOV-0601</t>
    <phoneticPr fontId="8" type="noConversion"/>
  </si>
  <si>
    <t>04XA0701</t>
    <phoneticPr fontId="8" type="noConversion"/>
  </si>
  <si>
    <t>04-XA-0701</t>
    <phoneticPr fontId="8" type="noConversion"/>
  </si>
  <si>
    <t>04-MOV-0701</t>
    <phoneticPr fontId="8" type="noConversion"/>
  </si>
  <si>
    <t>04XA0801</t>
    <phoneticPr fontId="8" type="noConversion"/>
  </si>
  <si>
    <t>04-XA-0801</t>
    <phoneticPr fontId="8" type="noConversion"/>
  </si>
  <si>
    <t>04-MOV-0801</t>
    <phoneticPr fontId="8" type="noConversion"/>
  </si>
  <si>
    <t>1 OF 18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</si>
</sst>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8.5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name val="等线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b/>
      <sz val="8"/>
      <name val="Times New Roman"/>
      <family val="1"/>
    </font>
    <font>
      <b/>
      <sz val="12"/>
      <name val="Times New Roman"/>
      <family val="1"/>
    </font>
    <font>
      <b/>
      <sz val="20"/>
      <color theme="1"/>
      <name val="Verdana"/>
      <family val="2"/>
    </font>
    <font>
      <sz val="9"/>
      <name val="宋体"/>
      <family val="3"/>
      <charset val="134"/>
    </font>
    <font>
      <sz val="9"/>
      <name val="Times New Roman"/>
      <family val="1"/>
    </font>
    <font>
      <b/>
      <sz val="9"/>
      <name val="Verdana"/>
      <family val="2"/>
    </font>
    <font>
      <b/>
      <sz val="14"/>
      <name val="等线"/>
      <family val="2"/>
      <scheme val="minor"/>
    </font>
    <font>
      <b/>
      <sz val="9"/>
      <color theme="1"/>
      <name val="Verdana"/>
      <family val="2"/>
    </font>
    <font>
      <sz val="10"/>
      <name val="Verdana"/>
      <family val="2"/>
    </font>
    <font>
      <sz val="10"/>
      <color rgb="FF0000FF"/>
      <name val="Verdana"/>
      <family val="2"/>
    </font>
    <font>
      <b/>
      <sz val="13.5"/>
      <name val="等线"/>
      <family val="2"/>
      <scheme val="minor"/>
    </font>
    <font>
      <sz val="10"/>
      <color rgb="FFFF0000"/>
      <name val="Arial"/>
      <family val="2"/>
    </font>
    <font>
      <sz val="11"/>
      <color rgb="FFFF0000"/>
      <name val="等线"/>
      <family val="2"/>
      <scheme val="minor"/>
    </font>
    <font>
      <i/>
      <sz val="10"/>
      <color rgb="FFFF0000"/>
      <name val="Arial"/>
      <family val="2"/>
    </font>
    <font>
      <sz val="10"/>
      <color rgb="FFEE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6" fillId="0" borderId="0"/>
  </cellStyleXfs>
  <cellXfs count="141"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/>
    <xf numFmtId="0" fontId="0" fillId="0" borderId="0" xfId="0" applyAlignment="1">
      <alignment horizontal="center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7" fillId="0" borderId="2" xfId="0" quotePrefix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2" xfId="0" quotePrefix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9" fillId="0" borderId="8" xfId="2" applyFont="1" applyBorder="1"/>
    <xf numFmtId="0" fontId="9" fillId="0" borderId="9" xfId="2" applyFont="1" applyBorder="1"/>
    <xf numFmtId="0" fontId="9" fillId="0" borderId="10" xfId="2" applyFont="1" applyBorder="1"/>
    <xf numFmtId="0" fontId="9" fillId="0" borderId="0" xfId="2" applyFont="1"/>
    <xf numFmtId="0" fontId="9" fillId="0" borderId="1" xfId="2" applyFont="1" applyBorder="1"/>
    <xf numFmtId="0" fontId="9" fillId="0" borderId="11" xfId="2" applyFont="1" applyBorder="1"/>
    <xf numFmtId="0" fontId="11" fillId="0" borderId="0" xfId="2" applyFont="1" applyAlignment="1">
      <alignment vertical="center" wrapText="1"/>
    </xf>
    <xf numFmtId="0" fontId="11" fillId="0" borderId="0" xfId="2" applyFont="1" applyAlignment="1">
      <alignment vertical="center"/>
    </xf>
    <xf numFmtId="0" fontId="10" fillId="0" borderId="0" xfId="2" applyFont="1" applyAlignment="1">
      <alignment horizontal="left" vertical="center"/>
    </xf>
    <xf numFmtId="0" fontId="14" fillId="0" borderId="0" xfId="2" applyFont="1"/>
    <xf numFmtId="0" fontId="9" fillId="0" borderId="12" xfId="2" applyFont="1" applyBorder="1"/>
    <xf numFmtId="0" fontId="9" fillId="0" borderId="13" xfId="2" applyFont="1" applyBorder="1"/>
    <xf numFmtId="0" fontId="9" fillId="0" borderId="16" xfId="2" applyFont="1" applyBorder="1"/>
    <xf numFmtId="0" fontId="15" fillId="0" borderId="12" xfId="2" applyFont="1" applyBorder="1" applyAlignment="1">
      <alignment horizontal="left" vertical="center" indent="1"/>
    </xf>
    <xf numFmtId="0" fontId="9" fillId="0" borderId="17" xfId="2" applyFont="1" applyBorder="1"/>
    <xf numFmtId="0" fontId="9" fillId="0" borderId="2" xfId="2" applyFont="1" applyBorder="1"/>
    <xf numFmtId="0" fontId="9" fillId="0" borderId="18" xfId="2" applyFont="1" applyBorder="1"/>
    <xf numFmtId="0" fontId="15" fillId="0" borderId="17" xfId="2" applyFont="1" applyBorder="1" applyAlignment="1">
      <alignment horizontal="left" vertical="center" indent="1"/>
    </xf>
    <xf numFmtId="0" fontId="19" fillId="0" borderId="17" xfId="2" applyFont="1" applyBorder="1" applyAlignment="1">
      <alignment horizontal="center" vertical="center"/>
    </xf>
    <xf numFmtId="15" fontId="19" fillId="0" borderId="2" xfId="2" applyNumberFormat="1" applyFont="1" applyBorder="1" applyAlignment="1">
      <alignment horizontal="center" vertical="center"/>
    </xf>
    <xf numFmtId="0" fontId="19" fillId="0" borderId="2" xfId="2" applyFont="1" applyBorder="1" applyAlignment="1">
      <alignment horizontal="center" vertical="center"/>
    </xf>
    <xf numFmtId="0" fontId="19" fillId="0" borderId="18" xfId="2" applyFont="1" applyBorder="1" applyAlignment="1">
      <alignment horizontal="center" vertical="center"/>
    </xf>
    <xf numFmtId="0" fontId="15" fillId="0" borderId="23" xfId="3" applyFont="1" applyBorder="1" applyAlignment="1">
      <alignment vertical="center"/>
    </xf>
    <xf numFmtId="0" fontId="15" fillId="0" borderId="24" xfId="3" applyFont="1" applyBorder="1" applyAlignment="1">
      <alignment vertical="top"/>
    </xf>
    <xf numFmtId="0" fontId="16" fillId="0" borderId="24" xfId="2" applyFont="1" applyBorder="1" applyAlignment="1">
      <alignment vertical="center"/>
    </xf>
    <xf numFmtId="0" fontId="16" fillId="0" borderId="25" xfId="2" applyFont="1" applyBorder="1" applyAlignment="1">
      <alignment vertical="center"/>
    </xf>
    <xf numFmtId="0" fontId="15" fillId="0" borderId="1" xfId="3" applyFont="1" applyBorder="1" applyAlignment="1">
      <alignment horizontal="left" vertical="top"/>
    </xf>
    <xf numFmtId="0" fontId="15" fillId="0" borderId="0" xfId="3" applyFont="1" applyAlignment="1">
      <alignment horizontal="left" vertical="top"/>
    </xf>
    <xf numFmtId="0" fontId="18" fillId="0" borderId="37" xfId="3" applyFont="1" applyBorder="1"/>
    <xf numFmtId="0" fontId="18" fillId="0" borderId="38" xfId="3" applyFont="1" applyBorder="1"/>
    <xf numFmtId="0" fontId="16" fillId="0" borderId="38" xfId="2" applyFont="1" applyBorder="1" applyAlignment="1">
      <alignment vertical="center"/>
    </xf>
    <xf numFmtId="0" fontId="16" fillId="0" borderId="39" xfId="2" applyFont="1" applyBorder="1" applyAlignment="1">
      <alignment vertical="center"/>
    </xf>
    <xf numFmtId="9" fontId="4" fillId="0" borderId="2" xfId="0" applyNumberFormat="1" applyFont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1" fillId="0" borderId="2" xfId="0" quotePrefix="1" applyFont="1" applyBorder="1" applyAlignment="1">
      <alignment horizontal="center" vertical="center" wrapText="1"/>
    </xf>
    <xf numFmtId="0" fontId="24" fillId="0" borderId="2" xfId="0" quotePrefix="1" applyFont="1" applyBorder="1" applyAlignment="1">
      <alignment horizontal="center" vertical="center" wrapText="1"/>
    </xf>
    <xf numFmtId="0" fontId="10" fillId="0" borderId="0" xfId="2" applyFont="1" applyAlignment="1">
      <alignment horizontal="left" vertical="center"/>
    </xf>
    <xf numFmtId="0" fontId="9" fillId="0" borderId="0" xfId="2" applyFont="1" applyAlignment="1">
      <alignment horizontal="center"/>
    </xf>
    <xf numFmtId="0" fontId="9" fillId="0" borderId="11" xfId="2" applyFont="1" applyBorder="1" applyAlignment="1">
      <alignment horizontal="center"/>
    </xf>
    <xf numFmtId="0" fontId="12" fillId="0" borderId="1" xfId="2" applyFont="1" applyBorder="1" applyAlignment="1">
      <alignment horizontal="center" wrapText="1"/>
    </xf>
    <xf numFmtId="0" fontId="12" fillId="0" borderId="0" xfId="2" applyFont="1" applyAlignment="1">
      <alignment horizontal="center" wrapText="1"/>
    </xf>
    <xf numFmtId="0" fontId="12" fillId="0" borderId="11" xfId="2" applyFont="1" applyBorder="1" applyAlignment="1">
      <alignment horizontal="center" wrapText="1"/>
    </xf>
    <xf numFmtId="0" fontId="9" fillId="0" borderId="14" xfId="2" applyFont="1" applyBorder="1" applyAlignment="1">
      <alignment horizontal="center"/>
    </xf>
    <xf numFmtId="0" fontId="9" fillId="0" borderId="15" xfId="2" applyFont="1" applyBorder="1" applyAlignment="1">
      <alignment horizontal="center"/>
    </xf>
    <xf numFmtId="0" fontId="15" fillId="0" borderId="8" xfId="2" applyFont="1" applyBorder="1" applyAlignment="1">
      <alignment horizontal="left" vertical="center"/>
    </xf>
    <xf numFmtId="0" fontId="15" fillId="0" borderId="9" xfId="2" applyFont="1" applyBorder="1" applyAlignment="1">
      <alignment horizontal="left" vertical="center"/>
    </xf>
    <xf numFmtId="0" fontId="16" fillId="0" borderId="9" xfId="2" applyFont="1" applyBorder="1" applyAlignment="1">
      <alignment horizontal="left" vertical="center" wrapText="1" indent="5"/>
    </xf>
    <xf numFmtId="0" fontId="16" fillId="0" borderId="10" xfId="2" applyFont="1" applyBorder="1" applyAlignment="1">
      <alignment horizontal="left" vertical="center" wrapText="1" indent="5"/>
    </xf>
    <xf numFmtId="0" fontId="16" fillId="0" borderId="0" xfId="2" applyFont="1" applyAlignment="1">
      <alignment horizontal="left" vertical="center" wrapText="1" indent="5"/>
    </xf>
    <xf numFmtId="0" fontId="16" fillId="0" borderId="11" xfId="2" applyFont="1" applyBorder="1" applyAlignment="1">
      <alignment horizontal="left" vertical="center" wrapText="1" indent="5"/>
    </xf>
    <xf numFmtId="0" fontId="16" fillId="0" borderId="21" xfId="2" applyFont="1" applyBorder="1" applyAlignment="1">
      <alignment horizontal="left" vertical="center" wrapText="1" indent="5"/>
    </xf>
    <xf numFmtId="0" fontId="16" fillId="0" borderId="22" xfId="2" applyFont="1" applyBorder="1" applyAlignment="1">
      <alignment horizontal="left" vertical="center" wrapText="1" indent="5"/>
    </xf>
    <xf numFmtId="0" fontId="17" fillId="0" borderId="13" xfId="2" applyFont="1" applyBorder="1" applyAlignment="1">
      <alignment horizontal="left" vertical="center"/>
    </xf>
    <xf numFmtId="0" fontId="17" fillId="0" borderId="16" xfId="2" applyFont="1" applyBorder="1" applyAlignment="1">
      <alignment horizontal="left" vertical="center"/>
    </xf>
    <xf numFmtId="0" fontId="9" fillId="0" borderId="3" xfId="2" applyFont="1" applyBorder="1" applyAlignment="1">
      <alignment horizontal="center"/>
    </xf>
    <xf numFmtId="0" fontId="9" fillId="0" borderId="6" xfId="2" applyFont="1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8" fillId="0" borderId="0" xfId="2" applyFont="1" applyAlignment="1">
      <alignment horizontal="center"/>
    </xf>
    <xf numFmtId="0" fontId="18" fillId="0" borderId="20" xfId="2" applyFont="1" applyBorder="1" applyAlignment="1">
      <alignment horizontal="center"/>
    </xf>
    <xf numFmtId="0" fontId="18" fillId="0" borderId="21" xfId="2" applyFont="1" applyBorder="1" applyAlignment="1">
      <alignment horizontal="center"/>
    </xf>
    <xf numFmtId="0" fontId="18" fillId="0" borderId="31" xfId="2" applyFont="1" applyBorder="1" applyAlignment="1">
      <alignment horizontal="center" vertical="center" wrapText="1"/>
    </xf>
    <xf numFmtId="0" fontId="18" fillId="0" borderId="36" xfId="2" applyFont="1" applyBorder="1" applyAlignment="1">
      <alignment horizontal="center" vertical="center" wrapText="1"/>
    </xf>
    <xf numFmtId="49" fontId="17" fillId="0" borderId="3" xfId="2" quotePrefix="1" applyNumberFormat="1" applyFont="1" applyBorder="1" applyAlignment="1">
      <alignment horizontal="left" vertical="center"/>
    </xf>
    <xf numFmtId="49" fontId="17" fillId="0" borderId="19" xfId="2" applyNumberFormat="1" applyFont="1" applyBorder="1" applyAlignment="1">
      <alignment horizontal="left" vertical="center"/>
    </xf>
    <xf numFmtId="0" fontId="17" fillId="0" borderId="3" xfId="2" applyFont="1" applyBorder="1" applyAlignment="1">
      <alignment horizontal="left" vertical="center"/>
    </xf>
    <xf numFmtId="0" fontId="17" fillId="0" borderId="19" xfId="2" applyFont="1" applyBorder="1" applyAlignment="1">
      <alignment horizontal="left" vertical="center"/>
    </xf>
    <xf numFmtId="0" fontId="19" fillId="0" borderId="3" xfId="2" applyFont="1" applyBorder="1" applyAlignment="1">
      <alignment horizontal="center" vertical="center"/>
    </xf>
    <xf numFmtId="0" fontId="19" fillId="0" borderId="6" xfId="2" applyFont="1" applyBorder="1" applyAlignment="1">
      <alignment horizontal="center" vertical="center"/>
    </xf>
    <xf numFmtId="0" fontId="15" fillId="0" borderId="26" xfId="2" applyFont="1" applyBorder="1" applyAlignment="1">
      <alignment horizontal="left" vertical="center" indent="1"/>
    </xf>
    <xf numFmtId="0" fontId="15" fillId="0" borderId="28" xfId="2" applyFont="1" applyBorder="1" applyAlignment="1">
      <alignment horizontal="left" vertical="center" indent="1"/>
    </xf>
    <xf numFmtId="0" fontId="17" fillId="0" borderId="27" xfId="2" applyFont="1" applyBorder="1" applyAlignment="1">
      <alignment horizontal="left" vertical="center" wrapText="1"/>
    </xf>
    <xf numFmtId="0" fontId="17" fillId="0" borderId="25" xfId="2" applyFont="1" applyBorder="1" applyAlignment="1">
      <alignment horizontal="left" vertical="center" wrapText="1"/>
    </xf>
    <xf numFmtId="0" fontId="17" fillId="0" borderId="29" xfId="2" applyFont="1" applyBorder="1" applyAlignment="1">
      <alignment horizontal="left" vertical="center" wrapText="1"/>
    </xf>
    <xf numFmtId="0" fontId="17" fillId="0" borderId="22" xfId="2" applyFont="1" applyBorder="1" applyAlignment="1">
      <alignment horizontal="left" vertical="center" wrapText="1"/>
    </xf>
    <xf numFmtId="0" fontId="20" fillId="0" borderId="0" xfId="2" applyFont="1" applyAlignment="1">
      <alignment horizontal="center" vertical="center" wrapText="1"/>
    </xf>
    <xf numFmtId="0" fontId="20" fillId="0" borderId="11" xfId="2" applyFont="1" applyBorder="1" applyAlignment="1">
      <alignment horizontal="center" vertical="center" wrapText="1"/>
    </xf>
    <xf numFmtId="0" fontId="15" fillId="0" borderId="32" xfId="2" applyFont="1" applyBorder="1" applyAlignment="1">
      <alignment horizontal="left" vertical="center" indent="1"/>
    </xf>
    <xf numFmtId="0" fontId="17" fillId="0" borderId="34" xfId="2" applyFont="1" applyBorder="1" applyAlignment="1">
      <alignment horizontal="left" vertical="center" wrapText="1"/>
    </xf>
    <xf numFmtId="0" fontId="17" fillId="0" borderId="39" xfId="2" applyFont="1" applyBorder="1" applyAlignment="1">
      <alignment horizontal="left" vertical="center" wrapText="1"/>
    </xf>
    <xf numFmtId="0" fontId="18" fillId="0" borderId="26" xfId="2" applyFont="1" applyBorder="1" applyAlignment="1">
      <alignment horizontal="center" vertical="center"/>
    </xf>
    <xf numFmtId="0" fontId="18" fillId="0" borderId="32" xfId="2" applyFont="1" applyBorder="1" applyAlignment="1">
      <alignment horizontal="center" vertical="center"/>
    </xf>
    <xf numFmtId="0" fontId="18" fillId="0" borderId="7" xfId="2" applyFont="1" applyBorder="1" applyAlignment="1">
      <alignment horizontal="center" vertical="center"/>
    </xf>
    <xf numFmtId="0" fontId="18" fillId="0" borderId="33" xfId="2" applyFont="1" applyBorder="1" applyAlignment="1">
      <alignment horizontal="center" vertical="center"/>
    </xf>
    <xf numFmtId="0" fontId="18" fillId="0" borderId="27" xfId="2" applyFont="1" applyBorder="1" applyAlignment="1">
      <alignment horizontal="center" vertical="center"/>
    </xf>
    <xf numFmtId="0" fontId="18" fillId="0" borderId="30" xfId="2" applyFont="1" applyBorder="1" applyAlignment="1">
      <alignment horizontal="center" vertical="center"/>
    </xf>
    <xf numFmtId="0" fontId="18" fillId="0" borderId="34" xfId="2" applyFont="1" applyBorder="1" applyAlignment="1">
      <alignment horizontal="center" vertical="center"/>
    </xf>
    <xf numFmtId="0" fontId="18" fillId="0" borderId="35" xfId="2" applyFont="1" applyBorder="1" applyAlignment="1">
      <alignment horizontal="center" vertical="center"/>
    </xf>
    <xf numFmtId="0" fontId="18" fillId="0" borderId="7" xfId="2" applyFont="1" applyBorder="1" applyAlignment="1">
      <alignment horizontal="center" vertical="center" wrapText="1"/>
    </xf>
    <xf numFmtId="0" fontId="18" fillId="0" borderId="33" xfId="2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4">
    <cellStyle name="Normal 2 2" xfId="3" xr:uid="{BFDA2A64-70A5-494E-869F-4E6F8C9FC674}"/>
    <cellStyle name="Normal_201-052-1.2.1-Rev 1-Ester" xfId="2" xr:uid="{1C042D26-1BCA-48FA-BCDA-27DBE2E5D0A3}"/>
    <cellStyle name="常规" xfId="0" builtinId="0"/>
    <cellStyle name="常规 2" xfId="1" xr:uid="{2DA238D2-E2DF-4141-9D51-FDA6A4238F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222045</xdr:colOff>
      <xdr:row>36</xdr:row>
      <xdr:rowOff>80972</xdr:rowOff>
    </xdr:from>
    <xdr:to>
      <xdr:col>9</xdr:col>
      <xdr:colOff>26255</xdr:colOff>
      <xdr:row>37</xdr:row>
      <xdr:rowOff>135149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DAB0B4CD-0AF7-45FB-B277-14DB04324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445" y="9513897"/>
          <a:ext cx="827013" cy="374398"/>
        </a:xfrm>
        <a:prstGeom prst="rect">
          <a:avLst/>
        </a:prstGeom>
      </xdr:spPr>
    </xdr:pic>
    <xdr:clientData/>
  </xdr:twoCellAnchor>
  <xdr:twoCellAnchor editAs="oneCell">
    <xdr:from>
      <xdr:col>7</xdr:col>
      <xdr:colOff>336176</xdr:colOff>
      <xdr:row>32</xdr:row>
      <xdr:rowOff>271430</xdr:rowOff>
    </xdr:from>
    <xdr:to>
      <xdr:col>8</xdr:col>
      <xdr:colOff>407254</xdr:colOff>
      <xdr:row>34</xdr:row>
      <xdr:rowOff>285109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B9DD040-95DB-4426-8161-41AD64D01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6576" y="8504205"/>
          <a:ext cx="427131" cy="5951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harles/My%20Project/Vopak/C5005%20(Vopak%20Shanghai%20ph1C)/VCTP1C-70-A4-582%20IO%20database/doc%20control%20list/Document%20List%20R0.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\scan\charles\My%20Documents\Project%20Template\Doc\Voltage%20Drop%20calculating,%20Cable%20Sizing,%20CB%20SizingR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%"/>
      <sheetName val="Cover"/>
      <sheetName val="Contents"/>
      <sheetName val="Civil &amp; Structure (2-3)"/>
      <sheetName val="Tankage (45)"/>
      <sheetName val="Equipment (5)"/>
      <sheetName val="Piping (6)"/>
      <sheetName val="Instrumentation (7)"/>
      <sheetName val="Electrical (8)"/>
      <sheetName val="Process (9) "/>
      <sheetName val="Index"/>
      <sheetName val="in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and Data"/>
      <sheetName val="Cable Data"/>
      <sheetName val="CF"/>
      <sheetName val="Method"/>
      <sheetName val="IP DATA"/>
      <sheetName val="Load list(C)"/>
      <sheetName val="LL-SB-01"/>
      <sheetName val="LL-SB-02"/>
      <sheetName val="VDC(C)"/>
      <sheetName val="Cable schedule(C)"/>
      <sheetName val="Power Cable"/>
      <sheetName val="Control Cable"/>
      <sheetName val="Lighting Cable"/>
      <sheetName val="Gland Summary"/>
      <sheetName val="Cable Summary"/>
      <sheetName val="Sheet1"/>
      <sheetName val="COVER"/>
      <sheetName val="INDEX"/>
      <sheetName val="PIT 13 "/>
      <sheetName val="TRUCK LOADING"/>
      <sheetName val="JETTY 72"/>
      <sheetName val="PANEL"/>
      <sheetName val="inst"/>
      <sheetName val="查询"/>
      <sheetName val="140TE281"/>
      <sheetName val="钢筋单(消防围栏)"/>
      <sheetName val="140TT447"/>
    </sheetNames>
    <sheetDataSet>
      <sheetData sheetId="0" refreshError="1">
        <row r="5">
          <cell r="G5" t="str">
            <v>A</v>
          </cell>
        </row>
        <row r="26">
          <cell r="G26" t="str">
            <v>B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7674-4E2A-40FE-8DAE-C90CF2CF3BDE}">
  <sheetPr>
    <pageSetUpPr fitToPage="1"/>
  </sheetPr>
  <dimension ref="A1:N39"/>
  <sheetViews>
    <sheetView view="pageBreakPreview" topLeftCell="A13" zoomScale="85" zoomScaleNormal="85" zoomScaleSheetLayoutView="85" workbookViewId="0">
      <selection activeCell="K22" sqref="K22"/>
    </sheetView>
  </sheetViews>
  <sheetFormatPr defaultRowHeight="13" x14ac:dyDescent="0.3"/>
  <cols>
    <col min="1" max="1" width="4.58203125" style="40" customWidth="1"/>
    <col min="2" max="2" width="12.33203125" style="40" customWidth="1"/>
    <col min="3" max="3" width="10.83203125" style="40" customWidth="1"/>
    <col min="4" max="4" width="16.08203125" style="40" customWidth="1"/>
    <col min="5" max="5" width="10.5" style="40" customWidth="1"/>
    <col min="6" max="6" width="10.25" style="40" customWidth="1"/>
    <col min="7" max="7" width="11.5" style="40" customWidth="1"/>
    <col min="8" max="8" width="4.58203125" style="40" customWidth="1"/>
    <col min="9" max="9" width="8.75" style="40" customWidth="1"/>
    <col min="10" max="10" width="17.58203125" style="40" customWidth="1"/>
    <col min="11" max="11" width="20" style="40" customWidth="1"/>
    <col min="12" max="12" width="17.08203125" style="40" customWidth="1"/>
    <col min="13" max="13" width="21.33203125" style="40" customWidth="1"/>
    <col min="14" max="14" width="17.58203125" style="40" customWidth="1"/>
    <col min="15" max="260" width="8.58203125" style="40"/>
    <col min="261" max="261" width="9" style="40" customWidth="1"/>
    <col min="262" max="262" width="7" style="40" customWidth="1"/>
    <col min="263" max="263" width="7.33203125" style="40" customWidth="1"/>
    <col min="264" max="265" width="7.25" style="40" customWidth="1"/>
    <col min="266" max="269" width="7.58203125" style="40" customWidth="1"/>
    <col min="270" max="516" width="8.58203125" style="40"/>
    <col min="517" max="517" width="9" style="40" customWidth="1"/>
    <col min="518" max="518" width="7" style="40" customWidth="1"/>
    <col min="519" max="519" width="7.33203125" style="40" customWidth="1"/>
    <col min="520" max="521" width="7.25" style="40" customWidth="1"/>
    <col min="522" max="525" width="7.58203125" style="40" customWidth="1"/>
    <col min="526" max="772" width="8.58203125" style="40"/>
    <col min="773" max="773" width="9" style="40" customWidth="1"/>
    <col min="774" max="774" width="7" style="40" customWidth="1"/>
    <col min="775" max="775" width="7.33203125" style="40" customWidth="1"/>
    <col min="776" max="777" width="7.25" style="40" customWidth="1"/>
    <col min="778" max="781" width="7.58203125" style="40" customWidth="1"/>
    <col min="782" max="1028" width="8.58203125" style="40"/>
    <col min="1029" max="1029" width="9" style="40" customWidth="1"/>
    <col min="1030" max="1030" width="7" style="40" customWidth="1"/>
    <col min="1031" max="1031" width="7.33203125" style="40" customWidth="1"/>
    <col min="1032" max="1033" width="7.25" style="40" customWidth="1"/>
    <col min="1034" max="1037" width="7.58203125" style="40" customWidth="1"/>
    <col min="1038" max="1284" width="8.58203125" style="40"/>
    <col min="1285" max="1285" width="9" style="40" customWidth="1"/>
    <col min="1286" max="1286" width="7" style="40" customWidth="1"/>
    <col min="1287" max="1287" width="7.33203125" style="40" customWidth="1"/>
    <col min="1288" max="1289" width="7.25" style="40" customWidth="1"/>
    <col min="1290" max="1293" width="7.58203125" style="40" customWidth="1"/>
    <col min="1294" max="1540" width="8.58203125" style="40"/>
    <col min="1541" max="1541" width="9" style="40" customWidth="1"/>
    <col min="1542" max="1542" width="7" style="40" customWidth="1"/>
    <col min="1543" max="1543" width="7.33203125" style="40" customWidth="1"/>
    <col min="1544" max="1545" width="7.25" style="40" customWidth="1"/>
    <col min="1546" max="1549" width="7.58203125" style="40" customWidth="1"/>
    <col min="1550" max="1796" width="8.58203125" style="40"/>
    <col min="1797" max="1797" width="9" style="40" customWidth="1"/>
    <col min="1798" max="1798" width="7" style="40" customWidth="1"/>
    <col min="1799" max="1799" width="7.33203125" style="40" customWidth="1"/>
    <col min="1800" max="1801" width="7.25" style="40" customWidth="1"/>
    <col min="1802" max="1805" width="7.58203125" style="40" customWidth="1"/>
    <col min="1806" max="2052" width="8.58203125" style="40"/>
    <col min="2053" max="2053" width="9" style="40" customWidth="1"/>
    <col min="2054" max="2054" width="7" style="40" customWidth="1"/>
    <col min="2055" max="2055" width="7.33203125" style="40" customWidth="1"/>
    <col min="2056" max="2057" width="7.25" style="40" customWidth="1"/>
    <col min="2058" max="2061" width="7.58203125" style="40" customWidth="1"/>
    <col min="2062" max="2308" width="8.58203125" style="40"/>
    <col min="2309" max="2309" width="9" style="40" customWidth="1"/>
    <col min="2310" max="2310" width="7" style="40" customWidth="1"/>
    <col min="2311" max="2311" width="7.33203125" style="40" customWidth="1"/>
    <col min="2312" max="2313" width="7.25" style="40" customWidth="1"/>
    <col min="2314" max="2317" width="7.58203125" style="40" customWidth="1"/>
    <col min="2318" max="2564" width="8.58203125" style="40"/>
    <col min="2565" max="2565" width="9" style="40" customWidth="1"/>
    <col min="2566" max="2566" width="7" style="40" customWidth="1"/>
    <col min="2567" max="2567" width="7.33203125" style="40" customWidth="1"/>
    <col min="2568" max="2569" width="7.25" style="40" customWidth="1"/>
    <col min="2570" max="2573" width="7.58203125" style="40" customWidth="1"/>
    <col min="2574" max="2820" width="8.58203125" style="40"/>
    <col min="2821" max="2821" width="9" style="40" customWidth="1"/>
    <col min="2822" max="2822" width="7" style="40" customWidth="1"/>
    <col min="2823" max="2823" width="7.33203125" style="40" customWidth="1"/>
    <col min="2824" max="2825" width="7.25" style="40" customWidth="1"/>
    <col min="2826" max="2829" width="7.58203125" style="40" customWidth="1"/>
    <col min="2830" max="3076" width="8.58203125" style="40"/>
    <col min="3077" max="3077" width="9" style="40" customWidth="1"/>
    <col min="3078" max="3078" width="7" style="40" customWidth="1"/>
    <col min="3079" max="3079" width="7.33203125" style="40" customWidth="1"/>
    <col min="3080" max="3081" width="7.25" style="40" customWidth="1"/>
    <col min="3082" max="3085" width="7.58203125" style="40" customWidth="1"/>
    <col min="3086" max="3332" width="8.58203125" style="40"/>
    <col min="3333" max="3333" width="9" style="40" customWidth="1"/>
    <col min="3334" max="3334" width="7" style="40" customWidth="1"/>
    <col min="3335" max="3335" width="7.33203125" style="40" customWidth="1"/>
    <col min="3336" max="3337" width="7.25" style="40" customWidth="1"/>
    <col min="3338" max="3341" width="7.58203125" style="40" customWidth="1"/>
    <col min="3342" max="3588" width="8.58203125" style="40"/>
    <col min="3589" max="3589" width="9" style="40" customWidth="1"/>
    <col min="3590" max="3590" width="7" style="40" customWidth="1"/>
    <col min="3591" max="3591" width="7.33203125" style="40" customWidth="1"/>
    <col min="3592" max="3593" width="7.25" style="40" customWidth="1"/>
    <col min="3594" max="3597" width="7.58203125" style="40" customWidth="1"/>
    <col min="3598" max="3844" width="8.58203125" style="40"/>
    <col min="3845" max="3845" width="9" style="40" customWidth="1"/>
    <col min="3846" max="3846" width="7" style="40" customWidth="1"/>
    <col min="3847" max="3847" width="7.33203125" style="40" customWidth="1"/>
    <col min="3848" max="3849" width="7.25" style="40" customWidth="1"/>
    <col min="3850" max="3853" width="7.58203125" style="40" customWidth="1"/>
    <col min="3854" max="4100" width="8.58203125" style="40"/>
    <col min="4101" max="4101" width="9" style="40" customWidth="1"/>
    <col min="4102" max="4102" width="7" style="40" customWidth="1"/>
    <col min="4103" max="4103" width="7.33203125" style="40" customWidth="1"/>
    <col min="4104" max="4105" width="7.25" style="40" customWidth="1"/>
    <col min="4106" max="4109" width="7.58203125" style="40" customWidth="1"/>
    <col min="4110" max="4356" width="8.58203125" style="40"/>
    <col min="4357" max="4357" width="9" style="40" customWidth="1"/>
    <col min="4358" max="4358" width="7" style="40" customWidth="1"/>
    <col min="4359" max="4359" width="7.33203125" style="40" customWidth="1"/>
    <col min="4360" max="4361" width="7.25" style="40" customWidth="1"/>
    <col min="4362" max="4365" width="7.58203125" style="40" customWidth="1"/>
    <col min="4366" max="4612" width="8.58203125" style="40"/>
    <col min="4613" max="4613" width="9" style="40" customWidth="1"/>
    <col min="4614" max="4614" width="7" style="40" customWidth="1"/>
    <col min="4615" max="4615" width="7.33203125" style="40" customWidth="1"/>
    <col min="4616" max="4617" width="7.25" style="40" customWidth="1"/>
    <col min="4618" max="4621" width="7.58203125" style="40" customWidth="1"/>
    <col min="4622" max="4868" width="8.58203125" style="40"/>
    <col min="4869" max="4869" width="9" style="40" customWidth="1"/>
    <col min="4870" max="4870" width="7" style="40" customWidth="1"/>
    <col min="4871" max="4871" width="7.33203125" style="40" customWidth="1"/>
    <col min="4872" max="4873" width="7.25" style="40" customWidth="1"/>
    <col min="4874" max="4877" width="7.58203125" style="40" customWidth="1"/>
    <col min="4878" max="5124" width="8.58203125" style="40"/>
    <col min="5125" max="5125" width="9" style="40" customWidth="1"/>
    <col min="5126" max="5126" width="7" style="40" customWidth="1"/>
    <col min="5127" max="5127" width="7.33203125" style="40" customWidth="1"/>
    <col min="5128" max="5129" width="7.25" style="40" customWidth="1"/>
    <col min="5130" max="5133" width="7.58203125" style="40" customWidth="1"/>
    <col min="5134" max="5380" width="8.58203125" style="40"/>
    <col min="5381" max="5381" width="9" style="40" customWidth="1"/>
    <col min="5382" max="5382" width="7" style="40" customWidth="1"/>
    <col min="5383" max="5383" width="7.33203125" style="40" customWidth="1"/>
    <col min="5384" max="5385" width="7.25" style="40" customWidth="1"/>
    <col min="5386" max="5389" width="7.58203125" style="40" customWidth="1"/>
    <col min="5390" max="5636" width="8.58203125" style="40"/>
    <col min="5637" max="5637" width="9" style="40" customWidth="1"/>
    <col min="5638" max="5638" width="7" style="40" customWidth="1"/>
    <col min="5639" max="5639" width="7.33203125" style="40" customWidth="1"/>
    <col min="5640" max="5641" width="7.25" style="40" customWidth="1"/>
    <col min="5642" max="5645" width="7.58203125" style="40" customWidth="1"/>
    <col min="5646" max="5892" width="8.58203125" style="40"/>
    <col min="5893" max="5893" width="9" style="40" customWidth="1"/>
    <col min="5894" max="5894" width="7" style="40" customWidth="1"/>
    <col min="5895" max="5895" width="7.33203125" style="40" customWidth="1"/>
    <col min="5896" max="5897" width="7.25" style="40" customWidth="1"/>
    <col min="5898" max="5901" width="7.58203125" style="40" customWidth="1"/>
    <col min="5902" max="6148" width="8.58203125" style="40"/>
    <col min="6149" max="6149" width="9" style="40" customWidth="1"/>
    <col min="6150" max="6150" width="7" style="40" customWidth="1"/>
    <col min="6151" max="6151" width="7.33203125" style="40" customWidth="1"/>
    <col min="6152" max="6153" width="7.25" style="40" customWidth="1"/>
    <col min="6154" max="6157" width="7.58203125" style="40" customWidth="1"/>
    <col min="6158" max="6404" width="8.58203125" style="40"/>
    <col min="6405" max="6405" width="9" style="40" customWidth="1"/>
    <col min="6406" max="6406" width="7" style="40" customWidth="1"/>
    <col min="6407" max="6407" width="7.33203125" style="40" customWidth="1"/>
    <col min="6408" max="6409" width="7.25" style="40" customWidth="1"/>
    <col min="6410" max="6413" width="7.58203125" style="40" customWidth="1"/>
    <col min="6414" max="6660" width="8.58203125" style="40"/>
    <col min="6661" max="6661" width="9" style="40" customWidth="1"/>
    <col min="6662" max="6662" width="7" style="40" customWidth="1"/>
    <col min="6663" max="6663" width="7.33203125" style="40" customWidth="1"/>
    <col min="6664" max="6665" width="7.25" style="40" customWidth="1"/>
    <col min="6666" max="6669" width="7.58203125" style="40" customWidth="1"/>
    <col min="6670" max="6916" width="8.58203125" style="40"/>
    <col min="6917" max="6917" width="9" style="40" customWidth="1"/>
    <col min="6918" max="6918" width="7" style="40" customWidth="1"/>
    <col min="6919" max="6919" width="7.33203125" style="40" customWidth="1"/>
    <col min="6920" max="6921" width="7.25" style="40" customWidth="1"/>
    <col min="6922" max="6925" width="7.58203125" style="40" customWidth="1"/>
    <col min="6926" max="7172" width="8.58203125" style="40"/>
    <col min="7173" max="7173" width="9" style="40" customWidth="1"/>
    <col min="7174" max="7174" width="7" style="40" customWidth="1"/>
    <col min="7175" max="7175" width="7.33203125" style="40" customWidth="1"/>
    <col min="7176" max="7177" width="7.25" style="40" customWidth="1"/>
    <col min="7178" max="7181" width="7.58203125" style="40" customWidth="1"/>
    <col min="7182" max="7428" width="8.58203125" style="40"/>
    <col min="7429" max="7429" width="9" style="40" customWidth="1"/>
    <col min="7430" max="7430" width="7" style="40" customWidth="1"/>
    <col min="7431" max="7431" width="7.33203125" style="40" customWidth="1"/>
    <col min="7432" max="7433" width="7.25" style="40" customWidth="1"/>
    <col min="7434" max="7437" width="7.58203125" style="40" customWidth="1"/>
    <col min="7438" max="7684" width="8.58203125" style="40"/>
    <col min="7685" max="7685" width="9" style="40" customWidth="1"/>
    <col min="7686" max="7686" width="7" style="40" customWidth="1"/>
    <col min="7687" max="7687" width="7.33203125" style="40" customWidth="1"/>
    <col min="7688" max="7689" width="7.25" style="40" customWidth="1"/>
    <col min="7690" max="7693" width="7.58203125" style="40" customWidth="1"/>
    <col min="7694" max="7940" width="8.58203125" style="40"/>
    <col min="7941" max="7941" width="9" style="40" customWidth="1"/>
    <col min="7942" max="7942" width="7" style="40" customWidth="1"/>
    <col min="7943" max="7943" width="7.33203125" style="40" customWidth="1"/>
    <col min="7944" max="7945" width="7.25" style="40" customWidth="1"/>
    <col min="7946" max="7949" width="7.58203125" style="40" customWidth="1"/>
    <col min="7950" max="8196" width="8.58203125" style="40"/>
    <col min="8197" max="8197" width="9" style="40" customWidth="1"/>
    <col min="8198" max="8198" width="7" style="40" customWidth="1"/>
    <col min="8199" max="8199" width="7.33203125" style="40" customWidth="1"/>
    <col min="8200" max="8201" width="7.25" style="40" customWidth="1"/>
    <col min="8202" max="8205" width="7.58203125" style="40" customWidth="1"/>
    <col min="8206" max="8452" width="8.58203125" style="40"/>
    <col min="8453" max="8453" width="9" style="40" customWidth="1"/>
    <col min="8454" max="8454" width="7" style="40" customWidth="1"/>
    <col min="8455" max="8455" width="7.33203125" style="40" customWidth="1"/>
    <col min="8456" max="8457" width="7.25" style="40" customWidth="1"/>
    <col min="8458" max="8461" width="7.58203125" style="40" customWidth="1"/>
    <col min="8462" max="8708" width="8.58203125" style="40"/>
    <col min="8709" max="8709" width="9" style="40" customWidth="1"/>
    <col min="8710" max="8710" width="7" style="40" customWidth="1"/>
    <col min="8711" max="8711" width="7.33203125" style="40" customWidth="1"/>
    <col min="8712" max="8713" width="7.25" style="40" customWidth="1"/>
    <col min="8714" max="8717" width="7.58203125" style="40" customWidth="1"/>
    <col min="8718" max="8964" width="8.58203125" style="40"/>
    <col min="8965" max="8965" width="9" style="40" customWidth="1"/>
    <col min="8966" max="8966" width="7" style="40" customWidth="1"/>
    <col min="8967" max="8967" width="7.33203125" style="40" customWidth="1"/>
    <col min="8968" max="8969" width="7.25" style="40" customWidth="1"/>
    <col min="8970" max="8973" width="7.58203125" style="40" customWidth="1"/>
    <col min="8974" max="9220" width="8.58203125" style="40"/>
    <col min="9221" max="9221" width="9" style="40" customWidth="1"/>
    <col min="9222" max="9222" width="7" style="40" customWidth="1"/>
    <col min="9223" max="9223" width="7.33203125" style="40" customWidth="1"/>
    <col min="9224" max="9225" width="7.25" style="40" customWidth="1"/>
    <col min="9226" max="9229" width="7.58203125" style="40" customWidth="1"/>
    <col min="9230" max="9476" width="8.58203125" style="40"/>
    <col min="9477" max="9477" width="9" style="40" customWidth="1"/>
    <col min="9478" max="9478" width="7" style="40" customWidth="1"/>
    <col min="9479" max="9479" width="7.33203125" style="40" customWidth="1"/>
    <col min="9480" max="9481" width="7.25" style="40" customWidth="1"/>
    <col min="9482" max="9485" width="7.58203125" style="40" customWidth="1"/>
    <col min="9486" max="9732" width="8.58203125" style="40"/>
    <col min="9733" max="9733" width="9" style="40" customWidth="1"/>
    <col min="9734" max="9734" width="7" style="40" customWidth="1"/>
    <col min="9735" max="9735" width="7.33203125" style="40" customWidth="1"/>
    <col min="9736" max="9737" width="7.25" style="40" customWidth="1"/>
    <col min="9738" max="9741" width="7.58203125" style="40" customWidth="1"/>
    <col min="9742" max="9988" width="8.58203125" style="40"/>
    <col min="9989" max="9989" width="9" style="40" customWidth="1"/>
    <col min="9990" max="9990" width="7" style="40" customWidth="1"/>
    <col min="9991" max="9991" width="7.33203125" style="40" customWidth="1"/>
    <col min="9992" max="9993" width="7.25" style="40" customWidth="1"/>
    <col min="9994" max="9997" width="7.58203125" style="40" customWidth="1"/>
    <col min="9998" max="10244" width="8.58203125" style="40"/>
    <col min="10245" max="10245" width="9" style="40" customWidth="1"/>
    <col min="10246" max="10246" width="7" style="40" customWidth="1"/>
    <col min="10247" max="10247" width="7.33203125" style="40" customWidth="1"/>
    <col min="10248" max="10249" width="7.25" style="40" customWidth="1"/>
    <col min="10250" max="10253" width="7.58203125" style="40" customWidth="1"/>
    <col min="10254" max="10500" width="8.58203125" style="40"/>
    <col min="10501" max="10501" width="9" style="40" customWidth="1"/>
    <col min="10502" max="10502" width="7" style="40" customWidth="1"/>
    <col min="10503" max="10503" width="7.33203125" style="40" customWidth="1"/>
    <col min="10504" max="10505" width="7.25" style="40" customWidth="1"/>
    <col min="10506" max="10509" width="7.58203125" style="40" customWidth="1"/>
    <col min="10510" max="10756" width="8.58203125" style="40"/>
    <col min="10757" max="10757" width="9" style="40" customWidth="1"/>
    <col min="10758" max="10758" width="7" style="40" customWidth="1"/>
    <col min="10759" max="10759" width="7.33203125" style="40" customWidth="1"/>
    <col min="10760" max="10761" width="7.25" style="40" customWidth="1"/>
    <col min="10762" max="10765" width="7.58203125" style="40" customWidth="1"/>
    <col min="10766" max="11012" width="8.58203125" style="40"/>
    <col min="11013" max="11013" width="9" style="40" customWidth="1"/>
    <col min="11014" max="11014" width="7" style="40" customWidth="1"/>
    <col min="11015" max="11015" width="7.33203125" style="40" customWidth="1"/>
    <col min="11016" max="11017" width="7.25" style="40" customWidth="1"/>
    <col min="11018" max="11021" width="7.58203125" style="40" customWidth="1"/>
    <col min="11022" max="11268" width="8.58203125" style="40"/>
    <col min="11269" max="11269" width="9" style="40" customWidth="1"/>
    <col min="11270" max="11270" width="7" style="40" customWidth="1"/>
    <col min="11271" max="11271" width="7.33203125" style="40" customWidth="1"/>
    <col min="11272" max="11273" width="7.25" style="40" customWidth="1"/>
    <col min="11274" max="11277" width="7.58203125" style="40" customWidth="1"/>
    <col min="11278" max="11524" width="8.58203125" style="40"/>
    <col min="11525" max="11525" width="9" style="40" customWidth="1"/>
    <col min="11526" max="11526" width="7" style="40" customWidth="1"/>
    <col min="11527" max="11527" width="7.33203125" style="40" customWidth="1"/>
    <col min="11528" max="11529" width="7.25" style="40" customWidth="1"/>
    <col min="11530" max="11533" width="7.58203125" style="40" customWidth="1"/>
    <col min="11534" max="11780" width="8.58203125" style="40"/>
    <col min="11781" max="11781" width="9" style="40" customWidth="1"/>
    <col min="11782" max="11782" width="7" style="40" customWidth="1"/>
    <col min="11783" max="11783" width="7.33203125" style="40" customWidth="1"/>
    <col min="11784" max="11785" width="7.25" style="40" customWidth="1"/>
    <col min="11786" max="11789" width="7.58203125" style="40" customWidth="1"/>
    <col min="11790" max="12036" width="8.58203125" style="40"/>
    <col min="12037" max="12037" width="9" style="40" customWidth="1"/>
    <col min="12038" max="12038" width="7" style="40" customWidth="1"/>
    <col min="12039" max="12039" width="7.33203125" style="40" customWidth="1"/>
    <col min="12040" max="12041" width="7.25" style="40" customWidth="1"/>
    <col min="12042" max="12045" width="7.58203125" style="40" customWidth="1"/>
    <col min="12046" max="12292" width="8.58203125" style="40"/>
    <col min="12293" max="12293" width="9" style="40" customWidth="1"/>
    <col min="12294" max="12294" width="7" style="40" customWidth="1"/>
    <col min="12295" max="12295" width="7.33203125" style="40" customWidth="1"/>
    <col min="12296" max="12297" width="7.25" style="40" customWidth="1"/>
    <col min="12298" max="12301" width="7.58203125" style="40" customWidth="1"/>
    <col min="12302" max="12548" width="8.58203125" style="40"/>
    <col min="12549" max="12549" width="9" style="40" customWidth="1"/>
    <col min="12550" max="12550" width="7" style="40" customWidth="1"/>
    <col min="12551" max="12551" width="7.33203125" style="40" customWidth="1"/>
    <col min="12552" max="12553" width="7.25" style="40" customWidth="1"/>
    <col min="12554" max="12557" width="7.58203125" style="40" customWidth="1"/>
    <col min="12558" max="12804" width="8.58203125" style="40"/>
    <col min="12805" max="12805" width="9" style="40" customWidth="1"/>
    <col min="12806" max="12806" width="7" style="40" customWidth="1"/>
    <col min="12807" max="12807" width="7.33203125" style="40" customWidth="1"/>
    <col min="12808" max="12809" width="7.25" style="40" customWidth="1"/>
    <col min="12810" max="12813" width="7.58203125" style="40" customWidth="1"/>
    <col min="12814" max="13060" width="8.58203125" style="40"/>
    <col min="13061" max="13061" width="9" style="40" customWidth="1"/>
    <col min="13062" max="13062" width="7" style="40" customWidth="1"/>
    <col min="13063" max="13063" width="7.33203125" style="40" customWidth="1"/>
    <col min="13064" max="13065" width="7.25" style="40" customWidth="1"/>
    <col min="13066" max="13069" width="7.58203125" style="40" customWidth="1"/>
    <col min="13070" max="13316" width="8.58203125" style="40"/>
    <col min="13317" max="13317" width="9" style="40" customWidth="1"/>
    <col min="13318" max="13318" width="7" style="40" customWidth="1"/>
    <col min="13319" max="13319" width="7.33203125" style="40" customWidth="1"/>
    <col min="13320" max="13321" width="7.25" style="40" customWidth="1"/>
    <col min="13322" max="13325" width="7.58203125" style="40" customWidth="1"/>
    <col min="13326" max="13572" width="8.58203125" style="40"/>
    <col min="13573" max="13573" width="9" style="40" customWidth="1"/>
    <col min="13574" max="13574" width="7" style="40" customWidth="1"/>
    <col min="13575" max="13575" width="7.33203125" style="40" customWidth="1"/>
    <col min="13576" max="13577" width="7.25" style="40" customWidth="1"/>
    <col min="13578" max="13581" width="7.58203125" style="40" customWidth="1"/>
    <col min="13582" max="13828" width="8.58203125" style="40"/>
    <col min="13829" max="13829" width="9" style="40" customWidth="1"/>
    <col min="13830" max="13830" width="7" style="40" customWidth="1"/>
    <col min="13831" max="13831" width="7.33203125" style="40" customWidth="1"/>
    <col min="13832" max="13833" width="7.25" style="40" customWidth="1"/>
    <col min="13834" max="13837" width="7.58203125" style="40" customWidth="1"/>
    <col min="13838" max="14084" width="8.58203125" style="40"/>
    <col min="14085" max="14085" width="9" style="40" customWidth="1"/>
    <col min="14086" max="14086" width="7" style="40" customWidth="1"/>
    <col min="14087" max="14087" width="7.33203125" style="40" customWidth="1"/>
    <col min="14088" max="14089" width="7.25" style="40" customWidth="1"/>
    <col min="14090" max="14093" width="7.58203125" style="40" customWidth="1"/>
    <col min="14094" max="14340" width="8.58203125" style="40"/>
    <col min="14341" max="14341" width="9" style="40" customWidth="1"/>
    <col min="14342" max="14342" width="7" style="40" customWidth="1"/>
    <col min="14343" max="14343" width="7.33203125" style="40" customWidth="1"/>
    <col min="14344" max="14345" width="7.25" style="40" customWidth="1"/>
    <col min="14346" max="14349" width="7.58203125" style="40" customWidth="1"/>
    <col min="14350" max="14596" width="8.58203125" style="40"/>
    <col min="14597" max="14597" width="9" style="40" customWidth="1"/>
    <col min="14598" max="14598" width="7" style="40" customWidth="1"/>
    <col min="14599" max="14599" width="7.33203125" style="40" customWidth="1"/>
    <col min="14600" max="14601" width="7.25" style="40" customWidth="1"/>
    <col min="14602" max="14605" width="7.58203125" style="40" customWidth="1"/>
    <col min="14606" max="14852" width="8.58203125" style="40"/>
    <col min="14853" max="14853" width="9" style="40" customWidth="1"/>
    <col min="14854" max="14854" width="7" style="40" customWidth="1"/>
    <col min="14855" max="14855" width="7.33203125" style="40" customWidth="1"/>
    <col min="14856" max="14857" width="7.25" style="40" customWidth="1"/>
    <col min="14858" max="14861" width="7.58203125" style="40" customWidth="1"/>
    <col min="14862" max="15108" width="8.58203125" style="40"/>
    <col min="15109" max="15109" width="9" style="40" customWidth="1"/>
    <col min="15110" max="15110" width="7" style="40" customWidth="1"/>
    <col min="15111" max="15111" width="7.33203125" style="40" customWidth="1"/>
    <col min="15112" max="15113" width="7.25" style="40" customWidth="1"/>
    <col min="15114" max="15117" width="7.58203125" style="40" customWidth="1"/>
    <col min="15118" max="15364" width="8.58203125" style="40"/>
    <col min="15365" max="15365" width="9" style="40" customWidth="1"/>
    <col min="15366" max="15366" width="7" style="40" customWidth="1"/>
    <col min="15367" max="15367" width="7.33203125" style="40" customWidth="1"/>
    <col min="15368" max="15369" width="7.25" style="40" customWidth="1"/>
    <col min="15370" max="15373" width="7.58203125" style="40" customWidth="1"/>
    <col min="15374" max="15620" width="8.58203125" style="40"/>
    <col min="15621" max="15621" width="9" style="40" customWidth="1"/>
    <col min="15622" max="15622" width="7" style="40" customWidth="1"/>
    <col min="15623" max="15623" width="7.33203125" style="40" customWidth="1"/>
    <col min="15624" max="15625" width="7.25" style="40" customWidth="1"/>
    <col min="15626" max="15629" width="7.58203125" style="40" customWidth="1"/>
    <col min="15630" max="15876" width="8.58203125" style="40"/>
    <col min="15877" max="15877" width="9" style="40" customWidth="1"/>
    <col min="15878" max="15878" width="7" style="40" customWidth="1"/>
    <col min="15879" max="15879" width="7.33203125" style="40" customWidth="1"/>
    <col min="15880" max="15881" width="7.25" style="40" customWidth="1"/>
    <col min="15882" max="15885" width="7.58203125" style="40" customWidth="1"/>
    <col min="15886" max="16132" width="8.58203125" style="40"/>
    <col min="16133" max="16133" width="9" style="40" customWidth="1"/>
    <col min="16134" max="16134" width="7" style="40" customWidth="1"/>
    <col min="16135" max="16135" width="7.33203125" style="40" customWidth="1"/>
    <col min="16136" max="16137" width="7.25" style="40" customWidth="1"/>
    <col min="16138" max="16141" width="7.58203125" style="40" customWidth="1"/>
    <col min="16142" max="16384" width="8.58203125" style="40"/>
  </cols>
  <sheetData>
    <row r="1" spans="1:14" ht="20.149999999999999" customHeight="1" x14ac:dyDescent="0.3">
      <c r="A1" s="37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9"/>
    </row>
    <row r="2" spans="1:14" ht="20.149999999999999" customHeight="1" x14ac:dyDescent="0.3">
      <c r="A2" s="41"/>
      <c r="N2" s="42"/>
    </row>
    <row r="3" spans="1:14" ht="20.149999999999999" customHeight="1" x14ac:dyDescent="0.3">
      <c r="A3" s="41"/>
      <c r="N3" s="42"/>
    </row>
    <row r="4" spans="1:14" ht="20.149999999999999" customHeight="1" x14ac:dyDescent="0.3">
      <c r="A4" s="41"/>
      <c r="N4" s="42"/>
    </row>
    <row r="5" spans="1:14" ht="20.149999999999999" customHeight="1" x14ac:dyDescent="0.3">
      <c r="A5" s="41"/>
      <c r="N5" s="42"/>
    </row>
    <row r="6" spans="1:14" ht="20.149999999999999" customHeight="1" x14ac:dyDescent="0.3">
      <c r="A6" s="41"/>
      <c r="N6" s="42"/>
    </row>
    <row r="7" spans="1:14" ht="20.149999999999999" customHeight="1" x14ac:dyDescent="0.3">
      <c r="A7" s="41"/>
      <c r="N7" s="42"/>
    </row>
    <row r="8" spans="1:14" ht="20.149999999999999" customHeight="1" x14ac:dyDescent="0.3">
      <c r="A8" s="41"/>
      <c r="N8" s="42"/>
    </row>
    <row r="9" spans="1:14" ht="20.149999999999999" customHeight="1" x14ac:dyDescent="0.3">
      <c r="A9" s="41"/>
      <c r="H9" s="77"/>
      <c r="I9" s="77"/>
      <c r="J9" s="43"/>
      <c r="K9" s="44"/>
      <c r="L9" s="45"/>
      <c r="M9" s="78"/>
      <c r="N9" s="79"/>
    </row>
    <row r="10" spans="1:14" ht="20.149999999999999" customHeight="1" x14ac:dyDescent="0.3">
      <c r="A10" s="41"/>
      <c r="N10" s="42"/>
    </row>
    <row r="11" spans="1:14" ht="20.149999999999999" customHeight="1" x14ac:dyDescent="0.3">
      <c r="A11" s="41"/>
      <c r="N11" s="42"/>
    </row>
    <row r="12" spans="1:14" ht="20.149999999999999" customHeight="1" x14ac:dyDescent="0.3">
      <c r="A12" s="41"/>
      <c r="N12" s="42"/>
    </row>
    <row r="13" spans="1:14" ht="20.149999999999999" customHeight="1" x14ac:dyDescent="0.3">
      <c r="A13" s="80" t="s">
        <v>1156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2"/>
    </row>
    <row r="14" spans="1:14" ht="20.149999999999999" customHeight="1" x14ac:dyDescent="0.3">
      <c r="A14" s="80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2"/>
    </row>
    <row r="15" spans="1:14" ht="20.149999999999999" customHeight="1" x14ac:dyDescent="0.3">
      <c r="A15" s="80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2"/>
    </row>
    <row r="16" spans="1:14" ht="20.149999999999999" customHeight="1" x14ac:dyDescent="0.3">
      <c r="A16" s="80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2"/>
    </row>
    <row r="17" spans="1:14" ht="20.149999999999999" customHeight="1" x14ac:dyDescent="0.3">
      <c r="A17" s="41"/>
      <c r="N17" s="42"/>
    </row>
    <row r="18" spans="1:14" ht="20.149999999999999" customHeight="1" x14ac:dyDescent="0.3">
      <c r="A18" s="41"/>
      <c r="N18" s="42"/>
    </row>
    <row r="19" spans="1:14" ht="20.149999999999999" customHeight="1" x14ac:dyDescent="0.3">
      <c r="A19" s="41"/>
      <c r="N19" s="42"/>
    </row>
    <row r="20" spans="1:14" ht="20.149999999999999" customHeight="1" x14ac:dyDescent="0.3">
      <c r="A20" s="41"/>
      <c r="N20" s="42"/>
    </row>
    <row r="21" spans="1:14" ht="20.149999999999999" customHeight="1" x14ac:dyDescent="0.3">
      <c r="A21" s="41"/>
      <c r="N21" s="42"/>
    </row>
    <row r="22" spans="1:14" ht="20.149999999999999" customHeight="1" x14ac:dyDescent="0.3">
      <c r="A22" s="41"/>
      <c r="N22" s="42"/>
    </row>
    <row r="23" spans="1:14" ht="20.149999999999999" customHeight="1" x14ac:dyDescent="0.3">
      <c r="A23" s="41"/>
      <c r="N23" s="42"/>
    </row>
    <row r="24" spans="1:14" ht="20.149999999999999" customHeight="1" x14ac:dyDescent="0.3">
      <c r="A24" s="41"/>
      <c r="N24" s="42"/>
    </row>
    <row r="25" spans="1:14" ht="20.149999999999999" customHeight="1" x14ac:dyDescent="0.3">
      <c r="A25" s="41"/>
      <c r="N25" s="42"/>
    </row>
    <row r="26" spans="1:14" ht="20.149999999999999" customHeight="1" x14ac:dyDescent="0.3">
      <c r="A26" s="41"/>
      <c r="N26" s="42"/>
    </row>
    <row r="27" spans="1:14" ht="20.149999999999999" customHeight="1" x14ac:dyDescent="0.3">
      <c r="A27" s="41"/>
      <c r="N27" s="42"/>
    </row>
    <row r="28" spans="1:14" ht="20.149999999999999" customHeight="1" x14ac:dyDescent="0.3">
      <c r="A28" s="41"/>
      <c r="N28" s="42"/>
    </row>
    <row r="29" spans="1:14" ht="20.149999999999999" customHeight="1" x14ac:dyDescent="0.3">
      <c r="A29" s="41"/>
      <c r="N29" s="42"/>
    </row>
    <row r="30" spans="1:14" ht="20.149999999999999" customHeight="1" x14ac:dyDescent="0.3">
      <c r="A30" s="41"/>
      <c r="N30" s="42"/>
    </row>
    <row r="31" spans="1:14" ht="20.149999999999999" customHeight="1" x14ac:dyDescent="0.3">
      <c r="A31" s="41"/>
      <c r="N31" s="42"/>
    </row>
    <row r="32" spans="1:14" ht="20.149999999999999" customHeight="1" thickBot="1" x14ac:dyDescent="0.35">
      <c r="A32" s="41"/>
      <c r="H32" s="46"/>
      <c r="I32" s="46"/>
      <c r="J32" s="78"/>
      <c r="K32" s="78"/>
      <c r="N32" s="42"/>
    </row>
    <row r="33" spans="1:14" ht="23.15" customHeight="1" x14ac:dyDescent="0.3">
      <c r="A33" s="47"/>
      <c r="B33" s="48"/>
      <c r="C33" s="83"/>
      <c r="D33" s="84"/>
      <c r="E33" s="48"/>
      <c r="F33" s="48"/>
      <c r="G33" s="49"/>
      <c r="H33" s="85" t="s">
        <v>1133</v>
      </c>
      <c r="I33" s="86"/>
      <c r="J33" s="87" t="s">
        <v>1134</v>
      </c>
      <c r="K33" s="88"/>
      <c r="L33" s="50" t="s">
        <v>1135</v>
      </c>
      <c r="M33" s="93" t="s">
        <v>1157</v>
      </c>
      <c r="N33" s="94"/>
    </row>
    <row r="34" spans="1:14" ht="23.15" customHeight="1" x14ac:dyDescent="0.3">
      <c r="A34" s="51"/>
      <c r="B34" s="52"/>
      <c r="C34" s="95"/>
      <c r="D34" s="96"/>
      <c r="E34" s="52"/>
      <c r="F34" s="52"/>
      <c r="G34" s="53"/>
      <c r="H34" s="97"/>
      <c r="I34" s="98"/>
      <c r="J34" s="89"/>
      <c r="K34" s="90"/>
      <c r="L34" s="54" t="s">
        <v>1136</v>
      </c>
      <c r="M34" s="103" t="s">
        <v>1137</v>
      </c>
      <c r="N34" s="104"/>
    </row>
    <row r="35" spans="1:14" ht="23.15" customHeight="1" x14ac:dyDescent="0.3">
      <c r="A35" s="51"/>
      <c r="B35" s="52"/>
      <c r="C35" s="95"/>
      <c r="D35" s="96"/>
      <c r="E35" s="52"/>
      <c r="F35" s="52"/>
      <c r="G35" s="53"/>
      <c r="H35" s="99"/>
      <c r="I35" s="100"/>
      <c r="J35" s="91"/>
      <c r="K35" s="92"/>
      <c r="L35" s="54" t="s">
        <v>1138</v>
      </c>
      <c r="M35" s="105" t="s">
        <v>1349</v>
      </c>
      <c r="N35" s="106"/>
    </row>
    <row r="36" spans="1:14" ht="25.4" customHeight="1" x14ac:dyDescent="0.3">
      <c r="A36" s="55">
        <v>0</v>
      </c>
      <c r="B36" s="56" t="s">
        <v>1234</v>
      </c>
      <c r="C36" s="107" t="s">
        <v>1241</v>
      </c>
      <c r="D36" s="108"/>
      <c r="E36" s="57" t="s">
        <v>1144</v>
      </c>
      <c r="F36" s="57" t="s">
        <v>1145</v>
      </c>
      <c r="G36" s="58" t="s">
        <v>1146</v>
      </c>
      <c r="H36" s="59" t="s">
        <v>1139</v>
      </c>
      <c r="I36" s="60"/>
      <c r="J36" s="61"/>
      <c r="K36" s="62"/>
      <c r="L36" s="109" t="s">
        <v>1140</v>
      </c>
      <c r="M36" s="111" t="s">
        <v>1141</v>
      </c>
      <c r="N36" s="112"/>
    </row>
    <row r="37" spans="1:14" ht="25.4" customHeight="1" x14ac:dyDescent="0.3">
      <c r="A37" s="55" t="s">
        <v>1142</v>
      </c>
      <c r="B37" s="56" t="s">
        <v>1204</v>
      </c>
      <c r="C37" s="107" t="s">
        <v>1143</v>
      </c>
      <c r="D37" s="108"/>
      <c r="E37" s="57" t="s">
        <v>1144</v>
      </c>
      <c r="F37" s="57" t="s">
        <v>1145</v>
      </c>
      <c r="G37" s="58" t="s">
        <v>1146</v>
      </c>
      <c r="H37" s="63"/>
      <c r="I37" s="64"/>
      <c r="J37" s="115" t="s">
        <v>1147</v>
      </c>
      <c r="K37" s="116"/>
      <c r="L37" s="110"/>
      <c r="M37" s="113"/>
      <c r="N37" s="114"/>
    </row>
    <row r="38" spans="1:14" ht="18" customHeight="1" x14ac:dyDescent="0.3">
      <c r="A38" s="120" t="s">
        <v>1148</v>
      </c>
      <c r="B38" s="122" t="s">
        <v>1149</v>
      </c>
      <c r="C38" s="124" t="s">
        <v>1150</v>
      </c>
      <c r="D38" s="125"/>
      <c r="E38" s="128" t="s">
        <v>1151</v>
      </c>
      <c r="F38" s="128" t="s">
        <v>1152</v>
      </c>
      <c r="G38" s="101" t="s">
        <v>1153</v>
      </c>
      <c r="H38" s="63"/>
      <c r="I38" s="64"/>
      <c r="J38" s="115"/>
      <c r="K38" s="116"/>
      <c r="L38" s="109" t="s">
        <v>1154</v>
      </c>
      <c r="M38" s="111" t="s">
        <v>1155</v>
      </c>
      <c r="N38" s="112"/>
    </row>
    <row r="39" spans="1:14" ht="16.399999999999999" customHeight="1" thickBot="1" x14ac:dyDescent="0.35">
      <c r="A39" s="121"/>
      <c r="B39" s="123"/>
      <c r="C39" s="126"/>
      <c r="D39" s="127"/>
      <c r="E39" s="129"/>
      <c r="F39" s="129"/>
      <c r="G39" s="102"/>
      <c r="H39" s="65"/>
      <c r="I39" s="66"/>
      <c r="J39" s="67"/>
      <c r="K39" s="68"/>
      <c r="L39" s="117"/>
      <c r="M39" s="118"/>
      <c r="N39" s="119"/>
    </row>
  </sheetData>
  <mergeCells count="26">
    <mergeCell ref="A38:A39"/>
    <mergeCell ref="B38:B39"/>
    <mergeCell ref="C38:D39"/>
    <mergeCell ref="E38:E39"/>
    <mergeCell ref="F38:F39"/>
    <mergeCell ref="G38:G39"/>
    <mergeCell ref="M34:N34"/>
    <mergeCell ref="C35:D35"/>
    <mergeCell ref="M35:N35"/>
    <mergeCell ref="C36:D36"/>
    <mergeCell ref="L36:L37"/>
    <mergeCell ref="M36:N37"/>
    <mergeCell ref="C37:D37"/>
    <mergeCell ref="J37:K38"/>
    <mergeCell ref="L38:L39"/>
    <mergeCell ref="M38:N39"/>
    <mergeCell ref="H9:I9"/>
    <mergeCell ref="M9:N9"/>
    <mergeCell ref="A13:N16"/>
    <mergeCell ref="J32:K32"/>
    <mergeCell ref="C33:D33"/>
    <mergeCell ref="H33:I33"/>
    <mergeCell ref="J33:K35"/>
    <mergeCell ref="M33:N33"/>
    <mergeCell ref="C34:D34"/>
    <mergeCell ref="H34:I35"/>
  </mergeCells>
  <phoneticPr fontId="8" type="noConversion"/>
  <printOptions horizontalCentered="1"/>
  <pageMargins left="0.39370078740157483" right="0.39370078740157483" top="0.59055118110236227" bottom="0.39370078740157483" header="1.4960629921259843" footer="0.39370078740157483"/>
  <pageSetup paperSize="9" scale="74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89E7-46A0-4EB7-94AF-DDC8A9D5585E}">
  <dimension ref="A1:H13"/>
  <sheetViews>
    <sheetView view="pageBreakPreview" zoomScale="115" zoomScaleNormal="70" zoomScaleSheetLayoutView="115" workbookViewId="0">
      <selection activeCell="C11" sqref="C11"/>
    </sheetView>
  </sheetViews>
  <sheetFormatPr defaultRowHeight="14" x14ac:dyDescent="0.3"/>
  <cols>
    <col min="1" max="1" width="8.08203125" style="12" customWidth="1"/>
    <col min="2" max="2" width="18.75" customWidth="1"/>
    <col min="3" max="7" width="12.58203125" style="12" customWidth="1"/>
    <col min="8" max="8" width="21.5" customWidth="1"/>
  </cols>
  <sheetData>
    <row r="1" spans="1:8" ht="30" customHeight="1" x14ac:dyDescent="0.3">
      <c r="A1" s="131" t="s">
        <v>1161</v>
      </c>
      <c r="B1" s="132"/>
      <c r="C1" s="132"/>
      <c r="D1" s="132"/>
      <c r="E1" s="132"/>
      <c r="F1" s="132"/>
      <c r="G1" s="132"/>
      <c r="H1" s="133"/>
    </row>
    <row r="2" spans="1:8" s="8" customFormat="1" ht="30" customHeight="1" x14ac:dyDescent="0.3">
      <c r="A2" s="6" t="s">
        <v>28</v>
      </c>
      <c r="B2" s="6" t="s">
        <v>165</v>
      </c>
      <c r="C2" s="6" t="s">
        <v>29</v>
      </c>
      <c r="D2" s="6" t="s">
        <v>24</v>
      </c>
      <c r="E2" s="6" t="s">
        <v>25</v>
      </c>
      <c r="F2" s="6" t="s">
        <v>26</v>
      </c>
      <c r="G2" s="6" t="s">
        <v>162</v>
      </c>
      <c r="H2" s="6" t="s">
        <v>17</v>
      </c>
    </row>
    <row r="3" spans="1:8" ht="30" customHeight="1" x14ac:dyDescent="0.3">
      <c r="A3" s="16">
        <v>1</v>
      </c>
      <c r="B3" s="10" t="s">
        <v>1160</v>
      </c>
      <c r="C3" s="74">
        <f>COUNTIF(TF!$I$4:$I$179,C2)</f>
        <v>112</v>
      </c>
      <c r="D3" s="9">
        <f>COUNTIF(TF!$I$4:$I$179,D2)</f>
        <v>48</v>
      </c>
      <c r="E3" s="9">
        <f>COUNTIF(TF!$I$4:$I$179,E2)</f>
        <v>16</v>
      </c>
      <c r="F3" s="9">
        <f>COUNTIF(TF!$I$4:$I$179,F2)</f>
        <v>0</v>
      </c>
      <c r="G3" s="9">
        <f>COUNTIF(TF!$I$4:$I$179,G2)</f>
        <v>0</v>
      </c>
      <c r="H3" s="10"/>
    </row>
    <row r="4" spans="1:8" ht="30" customHeight="1" x14ac:dyDescent="0.3">
      <c r="A4" s="16">
        <f t="shared" ref="A4:A11" si="0">A3+1</f>
        <v>2</v>
      </c>
      <c r="B4" s="10" t="s">
        <v>1129</v>
      </c>
      <c r="C4" s="9">
        <f>COUNTIF(PUMPS!$I$4:$I$58,C2)</f>
        <v>20</v>
      </c>
      <c r="D4" s="74">
        <f>COUNTIF(PUMPS!$I$4:$I$58,D2)</f>
        <v>14</v>
      </c>
      <c r="E4" s="9">
        <f>COUNTIF(PUMPS!$I$4:$I$58,E2)</f>
        <v>15</v>
      </c>
      <c r="F4" s="9">
        <f>COUNTIF(PUMPS!$I$4:$I$58,F2)</f>
        <v>6</v>
      </c>
      <c r="G4" s="9">
        <f>COUNTIF(PUMPS!$I$4:$I$58,G2)</f>
        <v>0</v>
      </c>
      <c r="H4" s="10"/>
    </row>
    <row r="5" spans="1:8" ht="30" customHeight="1" x14ac:dyDescent="0.3">
      <c r="A5" s="16">
        <f t="shared" si="0"/>
        <v>3</v>
      </c>
      <c r="B5" s="10" t="s">
        <v>1125</v>
      </c>
      <c r="C5" s="9">
        <f>COUNTIF(JETTY!$I$4:$I$10,C2)</f>
        <v>4</v>
      </c>
      <c r="D5" s="9">
        <f>COUNTIF(JETTY!$I$4:$I$10,D2)</f>
        <v>2</v>
      </c>
      <c r="E5" s="9">
        <f>COUNTIF(JETTY!$I$4:$I$10,E2)</f>
        <v>1</v>
      </c>
      <c r="F5" s="9">
        <f>COUNTIF(JETTY!$I$4:$I$10,F2)</f>
        <v>0</v>
      </c>
      <c r="G5" s="9">
        <f>COUNTIF(JETTY!$I$4:$I$10,G2)</f>
        <v>0</v>
      </c>
      <c r="H5" s="10"/>
    </row>
    <row r="6" spans="1:8" ht="30" customHeight="1" x14ac:dyDescent="0.3">
      <c r="A6" s="16">
        <f t="shared" si="0"/>
        <v>4</v>
      </c>
      <c r="B6" s="10" t="s">
        <v>1128</v>
      </c>
      <c r="C6" s="9">
        <f>COUNTIF(TLB!$I$4:$I$108,C2)</f>
        <v>48</v>
      </c>
      <c r="D6" s="9">
        <f>COUNTIF(TLB!$I$4:$I$108,D2)</f>
        <v>16</v>
      </c>
      <c r="E6" s="9">
        <f>COUNTIF(TLB!$I$4:$I$108,E2)</f>
        <v>33</v>
      </c>
      <c r="F6" s="9">
        <f>COUNTIF(TLB!$I$4:$I$108,F2)</f>
        <v>8</v>
      </c>
      <c r="G6" s="9">
        <f>COUNTIF(TLB!$I$4:$I$108,G2)</f>
        <v>0</v>
      </c>
      <c r="H6" s="10"/>
    </row>
    <row r="7" spans="1:8" ht="30" customHeight="1" x14ac:dyDescent="0.3">
      <c r="A7" s="16">
        <f t="shared" si="0"/>
        <v>5</v>
      </c>
      <c r="B7" s="10" t="s">
        <v>1131</v>
      </c>
      <c r="C7" s="9">
        <f>COUNTIF('HOT WATER'!$I$4:$I$29,C2)</f>
        <v>22</v>
      </c>
      <c r="D7" s="9">
        <f>COUNTIF('HOT WATER'!$I$4:$I$29,D2)</f>
        <v>0</v>
      </c>
      <c r="E7" s="9">
        <f>COUNTIF('HOT WATER'!$I$4:$I$29,E2)</f>
        <v>4</v>
      </c>
      <c r="F7" s="9">
        <f>COUNTIF('HOT WATER'!$I$4:$I$29,F2)</f>
        <v>0</v>
      </c>
      <c r="G7" s="9">
        <f>COUNTIF('HOT WATER'!$I$4:$I$29,G2)</f>
        <v>0</v>
      </c>
      <c r="H7" s="11"/>
    </row>
    <row r="8" spans="1:8" ht="30" customHeight="1" x14ac:dyDescent="0.3">
      <c r="A8" s="16">
        <f t="shared" si="0"/>
        <v>6</v>
      </c>
      <c r="B8" s="10" t="s">
        <v>1130</v>
      </c>
      <c r="C8" s="9">
        <f>COUNTIF('POTABLE WATER'!$I$4:$I$15,C2)</f>
        <v>9</v>
      </c>
      <c r="D8" s="9">
        <f>COUNTIF('POTABLE WATER'!$I$4:$I$15,D2)</f>
        <v>0</v>
      </c>
      <c r="E8" s="9">
        <f>COUNTIF('POTABLE WATER'!$I$4:$I$15,E2)</f>
        <v>3</v>
      </c>
      <c r="F8" s="9">
        <f>COUNTIF('POTABLE WATER'!$I$4:$I$15,F2)</f>
        <v>0</v>
      </c>
      <c r="G8" s="9">
        <f>COUNTIF('POTABLE WATER'!$I$4:$I$15,G2)</f>
        <v>0</v>
      </c>
      <c r="H8" s="10"/>
    </row>
    <row r="9" spans="1:8" ht="30" customHeight="1" x14ac:dyDescent="0.3">
      <c r="A9" s="16">
        <f t="shared" si="0"/>
        <v>7</v>
      </c>
      <c r="B9" s="10" t="s">
        <v>1132</v>
      </c>
      <c r="C9" s="9">
        <f>COUNTIF('PLANT AIR'!$I$4:$I$11,C2)</f>
        <v>6</v>
      </c>
      <c r="D9" s="9">
        <f>COUNTIF('PLANT AIR'!$I$4:$I$11,D2)</f>
        <v>0</v>
      </c>
      <c r="E9" s="9">
        <f>COUNTIF('PLANT AIR'!$I$4:$I$11,E2)</f>
        <v>2</v>
      </c>
      <c r="F9" s="9">
        <f>COUNTIF('PLANT AIR'!$I$4:$I$11,F2)</f>
        <v>0</v>
      </c>
      <c r="G9" s="9">
        <f>COUNTIF('PLANT AIR'!$I$4:$I$11,G2)</f>
        <v>0</v>
      </c>
      <c r="H9" s="10"/>
    </row>
    <row r="10" spans="1:8" ht="30" customHeight="1" x14ac:dyDescent="0.3">
      <c r="A10" s="16">
        <f t="shared" si="0"/>
        <v>8</v>
      </c>
      <c r="B10" s="10" t="s">
        <v>167</v>
      </c>
      <c r="C10" s="9">
        <f>ROUNDUP(SUM(C$3:C$9)*1.1,0)</f>
        <v>244</v>
      </c>
      <c r="D10" s="9">
        <f>ROUNDUP(SUM(D$3:D$9)*1.1,0)</f>
        <v>88</v>
      </c>
      <c r="E10" s="9">
        <f>ROUNDUP(SUM(E$3:E$9)*1.1,0)</f>
        <v>82</v>
      </c>
      <c r="F10" s="9">
        <f>ROUNDUP(SUM(F$3:F$9)*1.1,0)</f>
        <v>16</v>
      </c>
      <c r="G10" s="9">
        <f>SUM(G$3:G$9)*1.1</f>
        <v>0</v>
      </c>
      <c r="H10" s="11"/>
    </row>
    <row r="11" spans="1:8" ht="30" customHeight="1" x14ac:dyDescent="0.3">
      <c r="A11" s="16">
        <f t="shared" si="0"/>
        <v>9</v>
      </c>
      <c r="B11" s="10" t="s">
        <v>170</v>
      </c>
      <c r="C11" s="74">
        <f>ROUNDUP(C10*1.2,0)</f>
        <v>293</v>
      </c>
      <c r="D11" s="74">
        <f t="shared" ref="D11:G11" si="1">ROUNDUP(D10*1.2,0)</f>
        <v>106</v>
      </c>
      <c r="E11" s="9">
        <f t="shared" si="1"/>
        <v>99</v>
      </c>
      <c r="F11" s="9">
        <f t="shared" si="1"/>
        <v>20</v>
      </c>
      <c r="G11" s="9">
        <f t="shared" si="1"/>
        <v>0</v>
      </c>
      <c r="H11" s="11"/>
    </row>
    <row r="12" spans="1:8" ht="30" customHeight="1" x14ac:dyDescent="0.3">
      <c r="A12" s="130" t="s">
        <v>169</v>
      </c>
      <c r="B12" s="130"/>
      <c r="C12" s="130"/>
      <c r="D12" s="130"/>
      <c r="E12" s="130"/>
      <c r="F12" s="130"/>
      <c r="G12" s="130"/>
      <c r="H12" s="130"/>
    </row>
    <row r="13" spans="1:8" ht="30" customHeight="1" x14ac:dyDescent="0.3"/>
  </sheetData>
  <mergeCells count="2">
    <mergeCell ref="A12:H12"/>
    <mergeCell ref="A1:H1"/>
  </mergeCells>
  <phoneticPr fontId="8" type="noConversion"/>
  <pageMargins left="0.9055118110236221" right="0.70866141732283472" top="0.74803149606299213" bottom="0.74803149606299213" header="0.31496062992125984" footer="0.31496062992125984"/>
  <pageSetup paperSize="9" orientation="landscape" r:id="rId1"/>
  <headerFooter>
    <oddFooter>&amp;R&amp;10&amp;P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1C5C-316D-4C1E-ACF4-D54CD57FC5B6}">
  <sheetPr>
    <pageSetUpPr fitToPage="1"/>
  </sheetPr>
  <dimension ref="A1:Z209"/>
  <sheetViews>
    <sheetView tabSelected="1" view="pageBreakPreview" zoomScale="85" zoomScaleNormal="70" zoomScaleSheetLayoutView="85" workbookViewId="0">
      <pane xSplit="3" ySplit="3" topLeftCell="D162" activePane="bottomRight" state="frozen"/>
      <selection activeCell="O38" sqref="O38"/>
      <selection pane="topRight" activeCell="O38" sqref="O38"/>
      <selection pane="bottomLeft" activeCell="O38" sqref="O38"/>
      <selection pane="bottomRight" activeCell="G176" sqref="G176"/>
    </sheetView>
  </sheetViews>
  <sheetFormatPr defaultColWidth="9.08203125" defaultRowHeight="30" customHeight="1" x14ac:dyDescent="0.3"/>
  <cols>
    <col min="1" max="1" width="5.75" style="2" customWidth="1"/>
    <col min="2" max="2" width="8.33203125" style="2" customWidth="1"/>
    <col min="3" max="3" width="13" style="2" customWidth="1"/>
    <col min="4" max="4" width="12.08203125" style="2" customWidth="1"/>
    <col min="5" max="5" width="21.08203125" style="24" customWidth="1"/>
    <col min="6" max="6" width="12.58203125" style="2" customWidth="1"/>
    <col min="7" max="7" width="15.58203125" style="24" customWidth="1"/>
    <col min="8" max="8" width="9.25" style="2" customWidth="1"/>
    <col min="9" max="9" width="9.08203125" style="2"/>
    <col min="10" max="10" width="10.83203125" style="2" customWidth="1"/>
    <col min="11" max="11" width="12.33203125" style="2" customWidth="1"/>
    <col min="12" max="13" width="9.08203125" style="2"/>
    <col min="14" max="20" width="7.58203125" style="2" customWidth="1"/>
    <col min="21" max="21" width="8.58203125" style="24" customWidth="1"/>
    <col min="22" max="22" width="9.08203125" style="24"/>
    <col min="23" max="23" width="9.08203125" style="2"/>
    <col min="24" max="24" width="9.08203125" style="24"/>
    <col min="25" max="26" width="9.08203125" style="2"/>
    <col min="27" max="16384" width="9.08203125" style="24"/>
  </cols>
  <sheetData>
    <row r="1" spans="1:26" ht="20.149999999999999" customHeight="1" x14ac:dyDescent="0.3">
      <c r="A1" s="134" t="s">
        <v>0</v>
      </c>
      <c r="B1" s="134" t="s">
        <v>1</v>
      </c>
      <c r="C1" s="134" t="s">
        <v>27</v>
      </c>
      <c r="D1" s="134" t="s">
        <v>2</v>
      </c>
      <c r="E1" s="134" t="s">
        <v>3</v>
      </c>
      <c r="F1" s="134" t="s">
        <v>4</v>
      </c>
      <c r="G1" s="134" t="s">
        <v>5</v>
      </c>
      <c r="H1" s="134" t="s">
        <v>6</v>
      </c>
      <c r="I1" s="134" t="s">
        <v>7</v>
      </c>
      <c r="J1" s="134" t="s">
        <v>8</v>
      </c>
      <c r="K1" s="135" t="s">
        <v>249</v>
      </c>
      <c r="L1" s="134" t="s">
        <v>9</v>
      </c>
      <c r="M1" s="134" t="s">
        <v>10</v>
      </c>
      <c r="N1" s="134" t="s">
        <v>11</v>
      </c>
      <c r="O1" s="134"/>
      <c r="P1" s="134"/>
      <c r="Q1" s="134"/>
      <c r="R1" s="134" t="s">
        <v>12</v>
      </c>
      <c r="S1" s="134"/>
      <c r="T1" s="134" t="s">
        <v>13</v>
      </c>
      <c r="U1" s="134" t="s">
        <v>14</v>
      </c>
      <c r="V1" s="134" t="s">
        <v>15</v>
      </c>
      <c r="W1" s="134" t="s">
        <v>16</v>
      </c>
      <c r="X1" s="134" t="s">
        <v>17</v>
      </c>
    </row>
    <row r="2" spans="1:26" ht="20.149999999999999" customHeight="1" x14ac:dyDescent="0.3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6"/>
      <c r="L2" s="134"/>
      <c r="M2" s="134"/>
      <c r="N2" s="17" t="s">
        <v>18</v>
      </c>
      <c r="O2" s="17" t="s">
        <v>19</v>
      </c>
      <c r="P2" s="17" t="s">
        <v>20</v>
      </c>
      <c r="Q2" s="17" t="s">
        <v>21</v>
      </c>
      <c r="R2" s="69">
        <v>0</v>
      </c>
      <c r="S2" s="69">
        <v>1</v>
      </c>
      <c r="T2" s="134"/>
      <c r="U2" s="134"/>
      <c r="V2" s="134"/>
      <c r="W2" s="134"/>
      <c r="X2" s="134"/>
      <c r="Y2" s="2" t="s">
        <v>22</v>
      </c>
      <c r="Z2" s="2" t="s">
        <v>23</v>
      </c>
    </row>
    <row r="3" spans="1:26" ht="30" customHeight="1" x14ac:dyDescent="0.3">
      <c r="A3" s="20" t="s">
        <v>1191</v>
      </c>
      <c r="B3" s="21"/>
      <c r="C3" s="21"/>
      <c r="D3" s="22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69"/>
      <c r="S3" s="69"/>
      <c r="T3" s="17"/>
      <c r="U3" s="17"/>
      <c r="V3" s="17"/>
      <c r="W3" s="17"/>
      <c r="X3" s="17"/>
    </row>
    <row r="4" spans="1:26" ht="30" customHeight="1" x14ac:dyDescent="0.3">
      <c r="A4" s="15">
        <f>ROW()-3</f>
        <v>1</v>
      </c>
      <c r="B4" s="15" t="s">
        <v>172</v>
      </c>
      <c r="C4" s="15" t="s">
        <v>227</v>
      </c>
      <c r="D4" s="15" t="s">
        <v>173</v>
      </c>
      <c r="E4" s="19" t="s">
        <v>556</v>
      </c>
      <c r="F4" s="15" t="s">
        <v>213</v>
      </c>
      <c r="G4" s="15" t="s">
        <v>214</v>
      </c>
      <c r="H4" s="15" t="s">
        <v>172</v>
      </c>
      <c r="I4" s="15" t="s">
        <v>29</v>
      </c>
      <c r="J4" s="15" t="s">
        <v>248</v>
      </c>
      <c r="K4" s="76" t="s">
        <v>245</v>
      </c>
      <c r="L4" s="15"/>
      <c r="M4" s="15"/>
      <c r="N4" s="15"/>
      <c r="O4" s="15"/>
      <c r="P4" s="15"/>
      <c r="Q4" s="15"/>
      <c r="R4" s="15"/>
      <c r="S4" s="15"/>
      <c r="T4" s="15"/>
      <c r="U4" s="19"/>
      <c r="V4" s="19"/>
      <c r="W4" s="15"/>
      <c r="X4" s="19"/>
    </row>
    <row r="5" spans="1:26" ht="30" customHeight="1" x14ac:dyDescent="0.3">
      <c r="A5" s="15">
        <f t="shared" ref="A5:A76" si="0">ROW()-3</f>
        <v>2</v>
      </c>
      <c r="B5" s="15" t="s">
        <v>172</v>
      </c>
      <c r="C5" s="15" t="s">
        <v>228</v>
      </c>
      <c r="D5" s="15" t="s">
        <v>174</v>
      </c>
      <c r="E5" s="19" t="s">
        <v>557</v>
      </c>
      <c r="F5" s="15" t="s">
        <v>215</v>
      </c>
      <c r="G5" s="15" t="s">
        <v>214</v>
      </c>
      <c r="H5" s="15" t="s">
        <v>171</v>
      </c>
      <c r="I5" s="15" t="s">
        <v>29</v>
      </c>
      <c r="J5" s="15" t="s">
        <v>248</v>
      </c>
      <c r="K5" s="76" t="s">
        <v>245</v>
      </c>
      <c r="L5" s="15"/>
      <c r="M5" s="15"/>
      <c r="N5" s="15"/>
      <c r="O5" s="15"/>
      <c r="P5" s="15"/>
      <c r="Q5" s="15"/>
      <c r="R5" s="15"/>
      <c r="S5" s="15"/>
      <c r="T5" s="15"/>
      <c r="U5" s="19"/>
      <c r="V5" s="19"/>
      <c r="W5" s="15"/>
      <c r="X5" s="19"/>
    </row>
    <row r="6" spans="1:26" ht="30" customHeight="1" x14ac:dyDescent="0.3">
      <c r="A6" s="15">
        <f t="shared" si="0"/>
        <v>3</v>
      </c>
      <c r="B6" s="15" t="s">
        <v>172</v>
      </c>
      <c r="C6" s="15" t="s">
        <v>229</v>
      </c>
      <c r="D6" s="15" t="s">
        <v>175</v>
      </c>
      <c r="E6" s="19" t="s">
        <v>558</v>
      </c>
      <c r="F6" s="15" t="s">
        <v>216</v>
      </c>
      <c r="G6" s="15" t="s">
        <v>214</v>
      </c>
      <c r="H6" s="15" t="s">
        <v>171</v>
      </c>
      <c r="I6" s="15" t="s">
        <v>29</v>
      </c>
      <c r="J6" s="15" t="s">
        <v>248</v>
      </c>
      <c r="K6" s="76" t="s">
        <v>245</v>
      </c>
      <c r="L6" s="15"/>
      <c r="M6" s="15"/>
      <c r="N6" s="15"/>
      <c r="O6" s="15"/>
      <c r="P6" s="15"/>
      <c r="Q6" s="15"/>
      <c r="R6" s="15"/>
      <c r="S6" s="15"/>
      <c r="T6" s="15"/>
      <c r="U6" s="19"/>
      <c r="V6" s="19"/>
      <c r="W6" s="15"/>
      <c r="X6" s="19"/>
    </row>
    <row r="7" spans="1:26" ht="30" customHeight="1" x14ac:dyDescent="0.3">
      <c r="A7" s="15">
        <f t="shared" si="0"/>
        <v>4</v>
      </c>
      <c r="B7" s="15" t="s">
        <v>172</v>
      </c>
      <c r="C7" s="15" t="s">
        <v>230</v>
      </c>
      <c r="D7" s="15" t="s">
        <v>176</v>
      </c>
      <c r="E7" s="19" t="s">
        <v>559</v>
      </c>
      <c r="F7" s="15" t="s">
        <v>217</v>
      </c>
      <c r="G7" s="15" t="s">
        <v>214</v>
      </c>
      <c r="H7" s="15" t="s">
        <v>171</v>
      </c>
      <c r="I7" s="15" t="s">
        <v>29</v>
      </c>
      <c r="J7" s="15" t="s">
        <v>248</v>
      </c>
      <c r="K7" s="76" t="s">
        <v>245</v>
      </c>
      <c r="L7" s="15"/>
      <c r="M7" s="15"/>
      <c r="N7" s="15"/>
      <c r="O7" s="15"/>
      <c r="P7" s="15"/>
      <c r="Q7" s="15"/>
      <c r="R7" s="15"/>
      <c r="S7" s="15"/>
      <c r="T7" s="15"/>
      <c r="U7" s="19"/>
      <c r="V7" s="19"/>
      <c r="W7" s="15"/>
      <c r="X7" s="19"/>
    </row>
    <row r="8" spans="1:26" ht="30" customHeight="1" x14ac:dyDescent="0.3">
      <c r="A8" s="15">
        <f t="shared" si="0"/>
        <v>5</v>
      </c>
      <c r="B8" s="15" t="s">
        <v>172</v>
      </c>
      <c r="C8" s="15" t="s">
        <v>223</v>
      </c>
      <c r="D8" s="15" t="s">
        <v>177</v>
      </c>
      <c r="E8" s="19" t="s">
        <v>560</v>
      </c>
      <c r="F8" s="15" t="s">
        <v>218</v>
      </c>
      <c r="G8" s="15" t="s">
        <v>219</v>
      </c>
      <c r="H8" s="15" t="s">
        <v>171</v>
      </c>
      <c r="I8" s="15" t="s">
        <v>29</v>
      </c>
      <c r="J8" s="15" t="s">
        <v>248</v>
      </c>
      <c r="K8" s="76" t="s">
        <v>245</v>
      </c>
      <c r="L8" s="15"/>
      <c r="M8" s="15"/>
      <c r="N8" s="15"/>
      <c r="O8" s="15"/>
      <c r="P8" s="15"/>
      <c r="Q8" s="15"/>
      <c r="R8" s="15"/>
      <c r="S8" s="15"/>
      <c r="T8" s="15"/>
      <c r="U8" s="19"/>
      <c r="V8" s="19"/>
      <c r="W8" s="15"/>
      <c r="X8" s="19"/>
    </row>
    <row r="9" spans="1:26" ht="30" customHeight="1" x14ac:dyDescent="0.3">
      <c r="A9" s="15">
        <f t="shared" si="0"/>
        <v>6</v>
      </c>
      <c r="B9" s="15" t="s">
        <v>172</v>
      </c>
      <c r="C9" s="15" t="s">
        <v>224</v>
      </c>
      <c r="D9" s="15" t="s">
        <v>178</v>
      </c>
      <c r="E9" s="19" t="s">
        <v>561</v>
      </c>
      <c r="F9" s="15" t="s">
        <v>220</v>
      </c>
      <c r="G9" s="15" t="s">
        <v>219</v>
      </c>
      <c r="H9" s="15" t="s">
        <v>171</v>
      </c>
      <c r="I9" s="15" t="s">
        <v>29</v>
      </c>
      <c r="J9" s="15" t="s">
        <v>248</v>
      </c>
      <c r="K9" s="76" t="s">
        <v>245</v>
      </c>
      <c r="L9" s="15"/>
      <c r="M9" s="15"/>
      <c r="N9" s="15"/>
      <c r="O9" s="15"/>
      <c r="P9" s="15"/>
      <c r="Q9" s="15"/>
      <c r="R9" s="15"/>
      <c r="S9" s="15"/>
      <c r="T9" s="15"/>
      <c r="U9" s="19"/>
      <c r="V9" s="19"/>
      <c r="W9" s="15"/>
      <c r="X9" s="19"/>
    </row>
    <row r="10" spans="1:26" ht="30" customHeight="1" x14ac:dyDescent="0.3">
      <c r="A10" s="15">
        <f t="shared" si="0"/>
        <v>7</v>
      </c>
      <c r="B10" s="15" t="s">
        <v>172</v>
      </c>
      <c r="C10" s="15" t="s">
        <v>225</v>
      </c>
      <c r="D10" s="15" t="s">
        <v>179</v>
      </c>
      <c r="E10" s="19" t="s">
        <v>562</v>
      </c>
      <c r="F10" s="15" t="s">
        <v>221</v>
      </c>
      <c r="G10" s="15" t="s">
        <v>219</v>
      </c>
      <c r="H10" s="15" t="s">
        <v>171</v>
      </c>
      <c r="I10" s="15" t="s">
        <v>29</v>
      </c>
      <c r="J10" s="15" t="s">
        <v>248</v>
      </c>
      <c r="K10" s="76" t="s">
        <v>245</v>
      </c>
      <c r="L10" s="15"/>
      <c r="M10" s="15"/>
      <c r="N10" s="15"/>
      <c r="O10" s="15"/>
      <c r="P10" s="15"/>
      <c r="Q10" s="15"/>
      <c r="R10" s="15"/>
      <c r="S10" s="15"/>
      <c r="T10" s="15"/>
      <c r="U10" s="19"/>
      <c r="V10" s="19"/>
      <c r="W10" s="15"/>
      <c r="X10" s="19"/>
    </row>
    <row r="11" spans="1:26" ht="30" customHeight="1" x14ac:dyDescent="0.3">
      <c r="A11" s="15">
        <f t="shared" si="0"/>
        <v>8</v>
      </c>
      <c r="B11" s="15" t="s">
        <v>172</v>
      </c>
      <c r="C11" s="15" t="s">
        <v>226</v>
      </c>
      <c r="D11" s="15" t="s">
        <v>180</v>
      </c>
      <c r="E11" s="19" t="s">
        <v>563</v>
      </c>
      <c r="F11" s="15" t="s">
        <v>222</v>
      </c>
      <c r="G11" s="15" t="s">
        <v>219</v>
      </c>
      <c r="H11" s="15" t="s">
        <v>171</v>
      </c>
      <c r="I11" s="15" t="s">
        <v>29</v>
      </c>
      <c r="J11" s="15" t="s">
        <v>248</v>
      </c>
      <c r="K11" s="76" t="s">
        <v>245</v>
      </c>
      <c r="L11" s="15"/>
      <c r="M11" s="15"/>
      <c r="N11" s="15"/>
      <c r="O11" s="15"/>
      <c r="P11" s="15"/>
      <c r="Q11" s="15"/>
      <c r="R11" s="15"/>
      <c r="S11" s="15"/>
      <c r="T11" s="15"/>
      <c r="U11" s="19"/>
      <c r="V11" s="19"/>
      <c r="W11" s="15"/>
      <c r="X11" s="19"/>
    </row>
    <row r="12" spans="1:26" ht="30" customHeight="1" x14ac:dyDescent="0.3">
      <c r="A12" s="15">
        <f>ROW()-3</f>
        <v>9</v>
      </c>
      <c r="B12" s="15" t="s">
        <v>172</v>
      </c>
      <c r="C12" s="15" t="s">
        <v>1169</v>
      </c>
      <c r="D12" s="15" t="s">
        <v>173</v>
      </c>
      <c r="E12" s="19" t="s">
        <v>1192</v>
      </c>
      <c r="F12" s="15" t="s">
        <v>213</v>
      </c>
      <c r="G12" s="15" t="s">
        <v>214</v>
      </c>
      <c r="H12" s="15" t="s">
        <v>172</v>
      </c>
      <c r="I12" s="15" t="s">
        <v>29</v>
      </c>
      <c r="J12" s="15" t="s">
        <v>248</v>
      </c>
      <c r="K12" s="70" t="s">
        <v>245</v>
      </c>
      <c r="L12" s="15"/>
      <c r="M12" s="15"/>
      <c r="N12" s="15"/>
      <c r="O12" s="15"/>
      <c r="P12" s="15"/>
      <c r="Q12" s="15"/>
      <c r="R12" s="15"/>
      <c r="S12" s="15"/>
      <c r="T12" s="15"/>
      <c r="U12" s="19"/>
      <c r="V12" s="19"/>
      <c r="W12" s="15"/>
      <c r="X12" s="19"/>
    </row>
    <row r="13" spans="1:26" ht="30" customHeight="1" x14ac:dyDescent="0.3">
      <c r="A13" s="15">
        <f t="shared" si="0"/>
        <v>10</v>
      </c>
      <c r="B13" s="15" t="s">
        <v>172</v>
      </c>
      <c r="C13" s="15" t="s">
        <v>1162</v>
      </c>
      <c r="D13" s="15" t="s">
        <v>174</v>
      </c>
      <c r="E13" s="19" t="s">
        <v>1193</v>
      </c>
      <c r="F13" s="15" t="s">
        <v>215</v>
      </c>
      <c r="G13" s="15" t="s">
        <v>214</v>
      </c>
      <c r="H13" s="15" t="s">
        <v>171</v>
      </c>
      <c r="I13" s="15" t="s">
        <v>29</v>
      </c>
      <c r="J13" s="15" t="s">
        <v>248</v>
      </c>
      <c r="K13" s="70" t="s">
        <v>245</v>
      </c>
      <c r="L13" s="15"/>
      <c r="M13" s="15"/>
      <c r="N13" s="15"/>
      <c r="O13" s="15"/>
      <c r="P13" s="15"/>
      <c r="Q13" s="15"/>
      <c r="R13" s="15"/>
      <c r="S13" s="15"/>
      <c r="T13" s="15"/>
      <c r="U13" s="19"/>
      <c r="V13" s="19"/>
      <c r="W13" s="15"/>
      <c r="X13" s="19"/>
    </row>
    <row r="14" spans="1:26" ht="30" customHeight="1" x14ac:dyDescent="0.3">
      <c r="A14" s="15">
        <f t="shared" si="0"/>
        <v>11</v>
      </c>
      <c r="B14" s="15" t="s">
        <v>172</v>
      </c>
      <c r="C14" s="15" t="s">
        <v>1163</v>
      </c>
      <c r="D14" s="15" t="s">
        <v>175</v>
      </c>
      <c r="E14" s="19" t="s">
        <v>1194</v>
      </c>
      <c r="F14" s="15" t="s">
        <v>216</v>
      </c>
      <c r="G14" s="15" t="s">
        <v>214</v>
      </c>
      <c r="H14" s="15" t="s">
        <v>171</v>
      </c>
      <c r="I14" s="15" t="s">
        <v>29</v>
      </c>
      <c r="J14" s="15" t="s">
        <v>248</v>
      </c>
      <c r="K14" s="70" t="s">
        <v>245</v>
      </c>
      <c r="L14" s="15"/>
      <c r="M14" s="15"/>
      <c r="N14" s="15"/>
      <c r="O14" s="15"/>
      <c r="P14" s="15"/>
      <c r="Q14" s="15"/>
      <c r="R14" s="15"/>
      <c r="S14" s="15"/>
      <c r="T14" s="15"/>
      <c r="U14" s="19"/>
      <c r="V14" s="19"/>
      <c r="W14" s="15"/>
      <c r="X14" s="19"/>
    </row>
    <row r="15" spans="1:26" ht="30" customHeight="1" x14ac:dyDescent="0.3">
      <c r="A15" s="15">
        <f t="shared" si="0"/>
        <v>12</v>
      </c>
      <c r="B15" s="15" t="s">
        <v>172</v>
      </c>
      <c r="C15" s="15" t="s">
        <v>1164</v>
      </c>
      <c r="D15" s="15" t="s">
        <v>176</v>
      </c>
      <c r="E15" s="19" t="s">
        <v>1195</v>
      </c>
      <c r="F15" s="15" t="s">
        <v>217</v>
      </c>
      <c r="G15" s="15" t="s">
        <v>214</v>
      </c>
      <c r="H15" s="15" t="s">
        <v>171</v>
      </c>
      <c r="I15" s="15" t="s">
        <v>29</v>
      </c>
      <c r="J15" s="15" t="s">
        <v>248</v>
      </c>
      <c r="K15" s="70" t="s">
        <v>245</v>
      </c>
      <c r="L15" s="15"/>
      <c r="M15" s="15"/>
      <c r="N15" s="15"/>
      <c r="O15" s="15"/>
      <c r="P15" s="15"/>
      <c r="Q15" s="15"/>
      <c r="R15" s="15"/>
      <c r="S15" s="15"/>
      <c r="T15" s="15"/>
      <c r="U15" s="19"/>
      <c r="V15" s="19"/>
      <c r="W15" s="15"/>
      <c r="X15" s="19"/>
    </row>
    <row r="16" spans="1:26" ht="30" customHeight="1" x14ac:dyDescent="0.3">
      <c r="A16" s="15">
        <f t="shared" si="0"/>
        <v>13</v>
      </c>
      <c r="B16" s="15" t="s">
        <v>172</v>
      </c>
      <c r="C16" s="15" t="s">
        <v>1165</v>
      </c>
      <c r="D16" s="15" t="s">
        <v>177</v>
      </c>
      <c r="E16" s="19" t="s">
        <v>1196</v>
      </c>
      <c r="F16" s="15" t="s">
        <v>218</v>
      </c>
      <c r="G16" s="15" t="s">
        <v>219</v>
      </c>
      <c r="H16" s="15" t="s">
        <v>171</v>
      </c>
      <c r="I16" s="15" t="s">
        <v>29</v>
      </c>
      <c r="J16" s="15" t="s">
        <v>248</v>
      </c>
      <c r="K16" s="70" t="s">
        <v>245</v>
      </c>
      <c r="L16" s="15"/>
      <c r="M16" s="15"/>
      <c r="N16" s="15"/>
      <c r="O16" s="15"/>
      <c r="P16" s="15"/>
      <c r="Q16" s="15"/>
      <c r="R16" s="15"/>
      <c r="S16" s="15"/>
      <c r="T16" s="15"/>
      <c r="U16" s="19"/>
      <c r="V16" s="19"/>
      <c r="W16" s="15"/>
      <c r="X16" s="19"/>
    </row>
    <row r="17" spans="1:24" ht="30" customHeight="1" x14ac:dyDescent="0.3">
      <c r="A17" s="15">
        <f t="shared" si="0"/>
        <v>14</v>
      </c>
      <c r="B17" s="15" t="s">
        <v>172</v>
      </c>
      <c r="C17" s="15" t="s">
        <v>1166</v>
      </c>
      <c r="D17" s="15" t="s">
        <v>178</v>
      </c>
      <c r="E17" s="19" t="s">
        <v>1197</v>
      </c>
      <c r="F17" s="15" t="s">
        <v>220</v>
      </c>
      <c r="G17" s="15" t="s">
        <v>219</v>
      </c>
      <c r="H17" s="15" t="s">
        <v>171</v>
      </c>
      <c r="I17" s="15" t="s">
        <v>29</v>
      </c>
      <c r="J17" s="15" t="s">
        <v>248</v>
      </c>
      <c r="K17" s="70" t="s">
        <v>245</v>
      </c>
      <c r="L17" s="15"/>
      <c r="M17" s="15"/>
      <c r="N17" s="15"/>
      <c r="O17" s="15"/>
      <c r="P17" s="15"/>
      <c r="Q17" s="15"/>
      <c r="R17" s="15"/>
      <c r="S17" s="15"/>
      <c r="T17" s="15"/>
      <c r="U17" s="19"/>
      <c r="V17" s="19"/>
      <c r="W17" s="15"/>
      <c r="X17" s="19"/>
    </row>
    <row r="18" spans="1:24" ht="30" customHeight="1" x14ac:dyDescent="0.3">
      <c r="A18" s="15">
        <f t="shared" si="0"/>
        <v>15</v>
      </c>
      <c r="B18" s="15" t="s">
        <v>172</v>
      </c>
      <c r="C18" s="15" t="s">
        <v>1167</v>
      </c>
      <c r="D18" s="15" t="s">
        <v>179</v>
      </c>
      <c r="E18" s="19" t="s">
        <v>1198</v>
      </c>
      <c r="F18" s="15" t="s">
        <v>221</v>
      </c>
      <c r="G18" s="15" t="s">
        <v>219</v>
      </c>
      <c r="H18" s="15" t="s">
        <v>171</v>
      </c>
      <c r="I18" s="15" t="s">
        <v>29</v>
      </c>
      <c r="J18" s="15" t="s">
        <v>248</v>
      </c>
      <c r="K18" s="70" t="s">
        <v>245</v>
      </c>
      <c r="L18" s="15"/>
      <c r="M18" s="15"/>
      <c r="N18" s="15"/>
      <c r="O18" s="15"/>
      <c r="P18" s="15"/>
      <c r="Q18" s="15"/>
      <c r="R18" s="15"/>
      <c r="S18" s="15"/>
      <c r="T18" s="15"/>
      <c r="U18" s="19"/>
      <c r="V18" s="19"/>
      <c r="W18" s="15"/>
      <c r="X18" s="19"/>
    </row>
    <row r="19" spans="1:24" ht="30" customHeight="1" x14ac:dyDescent="0.3">
      <c r="A19" s="15">
        <f t="shared" si="0"/>
        <v>16</v>
      </c>
      <c r="B19" s="15" t="s">
        <v>172</v>
      </c>
      <c r="C19" s="15" t="s">
        <v>1168</v>
      </c>
      <c r="D19" s="15" t="s">
        <v>180</v>
      </c>
      <c r="E19" s="19" t="s">
        <v>1199</v>
      </c>
      <c r="F19" s="15" t="s">
        <v>222</v>
      </c>
      <c r="G19" s="15" t="s">
        <v>219</v>
      </c>
      <c r="H19" s="15" t="s">
        <v>171</v>
      </c>
      <c r="I19" s="15" t="s">
        <v>29</v>
      </c>
      <c r="J19" s="15" t="s">
        <v>248</v>
      </c>
      <c r="K19" s="70" t="s">
        <v>245</v>
      </c>
      <c r="L19" s="15"/>
      <c r="M19" s="15"/>
      <c r="N19" s="15"/>
      <c r="O19" s="15"/>
      <c r="P19" s="15"/>
      <c r="Q19" s="15"/>
      <c r="R19" s="15"/>
      <c r="S19" s="15"/>
      <c r="T19" s="15"/>
      <c r="U19" s="19"/>
      <c r="V19" s="19"/>
      <c r="W19" s="15"/>
      <c r="X19" s="19"/>
    </row>
    <row r="20" spans="1:24" s="3" customFormat="1" ht="30" customHeight="1" x14ac:dyDescent="0.3">
      <c r="A20" s="14">
        <f t="shared" si="0"/>
        <v>17</v>
      </c>
      <c r="B20" s="15" t="s">
        <v>172</v>
      </c>
      <c r="C20" s="15" t="s">
        <v>231</v>
      </c>
      <c r="D20" s="15" t="s">
        <v>181</v>
      </c>
      <c r="E20" s="19" t="s">
        <v>564</v>
      </c>
      <c r="F20" s="15" t="s">
        <v>213</v>
      </c>
      <c r="G20" s="15" t="s">
        <v>214</v>
      </c>
      <c r="H20" s="14" t="s">
        <v>171</v>
      </c>
      <c r="I20" s="14" t="s">
        <v>25</v>
      </c>
      <c r="J20" s="14" t="s">
        <v>30</v>
      </c>
      <c r="K20" s="14" t="s">
        <v>250</v>
      </c>
      <c r="L20" s="14" t="s">
        <v>163</v>
      </c>
      <c r="M20" s="14" t="s">
        <v>163</v>
      </c>
      <c r="N20" s="14"/>
      <c r="O20" s="14"/>
      <c r="P20" s="14"/>
      <c r="Q20" s="14"/>
      <c r="R20" s="14">
        <v>0</v>
      </c>
      <c r="S20" s="14">
        <v>100</v>
      </c>
      <c r="T20" s="14" t="s">
        <v>164</v>
      </c>
      <c r="U20" s="5"/>
      <c r="V20" s="5"/>
      <c r="W20" s="14"/>
      <c r="X20" s="5"/>
    </row>
    <row r="21" spans="1:24" s="3" customFormat="1" ht="30" customHeight="1" x14ac:dyDescent="0.3">
      <c r="A21" s="14">
        <f t="shared" si="0"/>
        <v>18</v>
      </c>
      <c r="B21" s="15" t="s">
        <v>172</v>
      </c>
      <c r="C21" s="15" t="s">
        <v>232</v>
      </c>
      <c r="D21" s="15" t="s">
        <v>182</v>
      </c>
      <c r="E21" s="19" t="s">
        <v>565</v>
      </c>
      <c r="F21" s="15" t="s">
        <v>215</v>
      </c>
      <c r="G21" s="15" t="s">
        <v>214</v>
      </c>
      <c r="H21" s="14" t="s">
        <v>171</v>
      </c>
      <c r="I21" s="14" t="s">
        <v>25</v>
      </c>
      <c r="J21" s="14" t="s">
        <v>30</v>
      </c>
      <c r="K21" s="14" t="s">
        <v>250</v>
      </c>
      <c r="L21" s="14" t="s">
        <v>163</v>
      </c>
      <c r="M21" s="14" t="s">
        <v>163</v>
      </c>
      <c r="N21" s="14"/>
      <c r="O21" s="14"/>
      <c r="P21" s="14"/>
      <c r="Q21" s="14"/>
      <c r="R21" s="14">
        <v>0</v>
      </c>
      <c r="S21" s="14">
        <v>100</v>
      </c>
      <c r="T21" s="14" t="s">
        <v>164</v>
      </c>
      <c r="U21" s="5"/>
      <c r="V21" s="5"/>
      <c r="W21" s="14"/>
      <c r="X21" s="5"/>
    </row>
    <row r="22" spans="1:24" s="3" customFormat="1" ht="30" customHeight="1" x14ac:dyDescent="0.3">
      <c r="A22" s="14">
        <f t="shared" si="0"/>
        <v>19</v>
      </c>
      <c r="B22" s="15" t="s">
        <v>172</v>
      </c>
      <c r="C22" s="15" t="s">
        <v>233</v>
      </c>
      <c r="D22" s="15" t="s">
        <v>183</v>
      </c>
      <c r="E22" s="19" t="s">
        <v>566</v>
      </c>
      <c r="F22" s="15" t="s">
        <v>216</v>
      </c>
      <c r="G22" s="15" t="s">
        <v>214</v>
      </c>
      <c r="H22" s="14" t="s">
        <v>171</v>
      </c>
      <c r="I22" s="14" t="s">
        <v>25</v>
      </c>
      <c r="J22" s="14" t="s">
        <v>30</v>
      </c>
      <c r="K22" s="14" t="s">
        <v>250</v>
      </c>
      <c r="L22" s="14" t="s">
        <v>163</v>
      </c>
      <c r="M22" s="14" t="s">
        <v>163</v>
      </c>
      <c r="N22" s="14"/>
      <c r="O22" s="14"/>
      <c r="P22" s="14"/>
      <c r="Q22" s="14"/>
      <c r="R22" s="14">
        <v>0</v>
      </c>
      <c r="S22" s="14">
        <v>100</v>
      </c>
      <c r="T22" s="14" t="s">
        <v>164</v>
      </c>
      <c r="U22" s="5"/>
      <c r="V22" s="5"/>
      <c r="W22" s="14"/>
      <c r="X22" s="5"/>
    </row>
    <row r="23" spans="1:24" s="3" customFormat="1" ht="30" customHeight="1" x14ac:dyDescent="0.3">
      <c r="A23" s="14">
        <f t="shared" si="0"/>
        <v>20</v>
      </c>
      <c r="B23" s="15" t="s">
        <v>172</v>
      </c>
      <c r="C23" s="15" t="s">
        <v>234</v>
      </c>
      <c r="D23" s="15" t="s">
        <v>184</v>
      </c>
      <c r="E23" s="19" t="s">
        <v>567</v>
      </c>
      <c r="F23" s="15" t="s">
        <v>217</v>
      </c>
      <c r="G23" s="15" t="s">
        <v>214</v>
      </c>
      <c r="H23" s="14" t="s">
        <v>171</v>
      </c>
      <c r="I23" s="14" t="s">
        <v>25</v>
      </c>
      <c r="J23" s="14" t="s">
        <v>30</v>
      </c>
      <c r="K23" s="14" t="s">
        <v>250</v>
      </c>
      <c r="L23" s="14" t="s">
        <v>163</v>
      </c>
      <c r="M23" s="14" t="s">
        <v>163</v>
      </c>
      <c r="N23" s="14"/>
      <c r="O23" s="14"/>
      <c r="P23" s="14"/>
      <c r="Q23" s="14"/>
      <c r="R23" s="14">
        <v>0</v>
      </c>
      <c r="S23" s="14">
        <v>100</v>
      </c>
      <c r="T23" s="14" t="s">
        <v>164</v>
      </c>
      <c r="U23" s="5"/>
      <c r="V23" s="5"/>
      <c r="W23" s="14"/>
      <c r="X23" s="5"/>
    </row>
    <row r="24" spans="1:24" s="3" customFormat="1" ht="30" customHeight="1" x14ac:dyDescent="0.3">
      <c r="A24" s="14">
        <f t="shared" si="0"/>
        <v>21</v>
      </c>
      <c r="B24" s="15" t="s">
        <v>172</v>
      </c>
      <c r="C24" s="15" t="s">
        <v>235</v>
      </c>
      <c r="D24" s="15" t="s">
        <v>185</v>
      </c>
      <c r="E24" s="19" t="s">
        <v>568</v>
      </c>
      <c r="F24" s="15" t="s">
        <v>218</v>
      </c>
      <c r="G24" s="15" t="s">
        <v>219</v>
      </c>
      <c r="H24" s="14" t="s">
        <v>171</v>
      </c>
      <c r="I24" s="14" t="s">
        <v>25</v>
      </c>
      <c r="J24" s="14" t="s">
        <v>30</v>
      </c>
      <c r="K24" s="14" t="s">
        <v>250</v>
      </c>
      <c r="L24" s="14" t="s">
        <v>163</v>
      </c>
      <c r="M24" s="14" t="s">
        <v>163</v>
      </c>
      <c r="N24" s="14"/>
      <c r="O24" s="14"/>
      <c r="P24" s="14"/>
      <c r="Q24" s="14"/>
      <c r="R24" s="14">
        <v>0</v>
      </c>
      <c r="S24" s="14">
        <v>100</v>
      </c>
      <c r="T24" s="14" t="s">
        <v>164</v>
      </c>
      <c r="U24" s="5"/>
      <c r="V24" s="5"/>
      <c r="W24" s="14"/>
      <c r="X24" s="5"/>
    </row>
    <row r="25" spans="1:24" s="3" customFormat="1" ht="30" customHeight="1" x14ac:dyDescent="0.3">
      <c r="A25" s="14">
        <f t="shared" si="0"/>
        <v>22</v>
      </c>
      <c r="B25" s="15" t="s">
        <v>172</v>
      </c>
      <c r="C25" s="15" t="s">
        <v>236</v>
      </c>
      <c r="D25" s="15" t="s">
        <v>186</v>
      </c>
      <c r="E25" s="19" t="s">
        <v>569</v>
      </c>
      <c r="F25" s="15" t="s">
        <v>220</v>
      </c>
      <c r="G25" s="15" t="s">
        <v>219</v>
      </c>
      <c r="H25" s="14" t="s">
        <v>171</v>
      </c>
      <c r="I25" s="14" t="s">
        <v>25</v>
      </c>
      <c r="J25" s="14" t="s">
        <v>30</v>
      </c>
      <c r="K25" s="14" t="s">
        <v>250</v>
      </c>
      <c r="L25" s="14" t="s">
        <v>163</v>
      </c>
      <c r="M25" s="14" t="s">
        <v>163</v>
      </c>
      <c r="N25" s="14"/>
      <c r="O25" s="14"/>
      <c r="P25" s="14"/>
      <c r="Q25" s="14"/>
      <c r="R25" s="14">
        <v>0</v>
      </c>
      <c r="S25" s="14">
        <v>100</v>
      </c>
      <c r="T25" s="14" t="s">
        <v>164</v>
      </c>
      <c r="U25" s="5"/>
      <c r="V25" s="5"/>
      <c r="W25" s="14"/>
      <c r="X25" s="5"/>
    </row>
    <row r="26" spans="1:24" s="3" customFormat="1" ht="30" customHeight="1" x14ac:dyDescent="0.3">
      <c r="A26" s="14">
        <f t="shared" si="0"/>
        <v>23</v>
      </c>
      <c r="B26" s="15" t="s">
        <v>172</v>
      </c>
      <c r="C26" s="15" t="s">
        <v>237</v>
      </c>
      <c r="D26" s="15" t="s">
        <v>187</v>
      </c>
      <c r="E26" s="19" t="s">
        <v>570</v>
      </c>
      <c r="F26" s="15" t="s">
        <v>221</v>
      </c>
      <c r="G26" s="15" t="s">
        <v>219</v>
      </c>
      <c r="H26" s="14" t="s">
        <v>171</v>
      </c>
      <c r="I26" s="14" t="s">
        <v>25</v>
      </c>
      <c r="J26" s="14" t="s">
        <v>30</v>
      </c>
      <c r="K26" s="14" t="s">
        <v>250</v>
      </c>
      <c r="L26" s="14" t="s">
        <v>163</v>
      </c>
      <c r="M26" s="14" t="s">
        <v>163</v>
      </c>
      <c r="N26" s="14"/>
      <c r="O26" s="14"/>
      <c r="P26" s="14"/>
      <c r="Q26" s="14"/>
      <c r="R26" s="14">
        <v>0</v>
      </c>
      <c r="S26" s="14">
        <v>100</v>
      </c>
      <c r="T26" s="14" t="s">
        <v>164</v>
      </c>
      <c r="U26" s="5"/>
      <c r="V26" s="5"/>
      <c r="W26" s="14"/>
      <c r="X26" s="5"/>
    </row>
    <row r="27" spans="1:24" s="3" customFormat="1" ht="30" customHeight="1" x14ac:dyDescent="0.3">
      <c r="A27" s="14">
        <f t="shared" si="0"/>
        <v>24</v>
      </c>
      <c r="B27" s="15" t="s">
        <v>172</v>
      </c>
      <c r="C27" s="15" t="s">
        <v>238</v>
      </c>
      <c r="D27" s="15" t="s">
        <v>188</v>
      </c>
      <c r="E27" s="19" t="s">
        <v>571</v>
      </c>
      <c r="F27" s="15" t="s">
        <v>222</v>
      </c>
      <c r="G27" s="15" t="s">
        <v>219</v>
      </c>
      <c r="H27" s="14" t="s">
        <v>171</v>
      </c>
      <c r="I27" s="14" t="s">
        <v>25</v>
      </c>
      <c r="J27" s="14" t="s">
        <v>30</v>
      </c>
      <c r="K27" s="14" t="s">
        <v>250</v>
      </c>
      <c r="L27" s="14" t="s">
        <v>163</v>
      </c>
      <c r="M27" s="14" t="s">
        <v>163</v>
      </c>
      <c r="N27" s="14"/>
      <c r="O27" s="14"/>
      <c r="P27" s="14"/>
      <c r="Q27" s="14"/>
      <c r="R27" s="14">
        <v>0</v>
      </c>
      <c r="S27" s="14">
        <v>100</v>
      </c>
      <c r="T27" s="14" t="s">
        <v>164</v>
      </c>
      <c r="U27" s="5"/>
      <c r="V27" s="5"/>
      <c r="W27" s="14"/>
      <c r="X27" s="5"/>
    </row>
    <row r="28" spans="1:24" s="2" customFormat="1" ht="30" customHeight="1" x14ac:dyDescent="0.3">
      <c r="A28" s="15">
        <f t="shared" si="0"/>
        <v>25</v>
      </c>
      <c r="B28" s="15" t="s">
        <v>172</v>
      </c>
      <c r="C28" s="15" t="s">
        <v>254</v>
      </c>
      <c r="D28" s="15" t="s">
        <v>255</v>
      </c>
      <c r="E28" s="19" t="s">
        <v>256</v>
      </c>
      <c r="F28" s="15" t="s">
        <v>189</v>
      </c>
      <c r="G28" s="15" t="s">
        <v>214</v>
      </c>
      <c r="H28" s="15" t="s">
        <v>171</v>
      </c>
      <c r="I28" s="15" t="s">
        <v>29</v>
      </c>
      <c r="J28" s="15" t="s">
        <v>31</v>
      </c>
      <c r="K28" s="70" t="s">
        <v>245</v>
      </c>
      <c r="L28" s="70" t="s">
        <v>245</v>
      </c>
      <c r="M28" s="15" t="s">
        <v>241</v>
      </c>
      <c r="N28" s="15"/>
      <c r="O28" s="15"/>
      <c r="P28" s="15"/>
      <c r="Q28" s="15"/>
      <c r="R28" s="15"/>
      <c r="S28" s="15"/>
      <c r="T28" s="15"/>
      <c r="U28" s="19"/>
      <c r="V28" s="19"/>
      <c r="W28" s="15"/>
      <c r="X28" s="19"/>
    </row>
    <row r="29" spans="1:24" s="2" customFormat="1" ht="30" customHeight="1" x14ac:dyDescent="0.3">
      <c r="A29" s="15">
        <f t="shared" si="0"/>
        <v>26</v>
      </c>
      <c r="B29" s="15" t="s">
        <v>172</v>
      </c>
      <c r="C29" s="15" t="s">
        <v>257</v>
      </c>
      <c r="D29" s="15" t="s">
        <v>258</v>
      </c>
      <c r="E29" s="19" t="s">
        <v>259</v>
      </c>
      <c r="F29" s="15" t="s">
        <v>189</v>
      </c>
      <c r="G29" s="15" t="s">
        <v>214</v>
      </c>
      <c r="H29" s="15" t="s">
        <v>171</v>
      </c>
      <c r="I29" s="15" t="s">
        <v>29</v>
      </c>
      <c r="J29" s="15" t="s">
        <v>31</v>
      </c>
      <c r="K29" s="70" t="s">
        <v>245</v>
      </c>
      <c r="L29" s="70" t="s">
        <v>245</v>
      </c>
      <c r="M29" s="15" t="s">
        <v>240</v>
      </c>
      <c r="N29" s="15"/>
      <c r="O29" s="15"/>
      <c r="P29" s="15"/>
      <c r="Q29" s="15"/>
      <c r="R29" s="15"/>
      <c r="S29" s="15"/>
      <c r="T29" s="15"/>
      <c r="U29" s="19"/>
      <c r="V29" s="19"/>
      <c r="W29" s="15"/>
      <c r="X29" s="19"/>
    </row>
    <row r="30" spans="1:24" s="2" customFormat="1" ht="30" customHeight="1" x14ac:dyDescent="0.3">
      <c r="A30" s="15">
        <f t="shared" si="0"/>
        <v>27</v>
      </c>
      <c r="B30" s="15" t="s">
        <v>172</v>
      </c>
      <c r="C30" s="15" t="s">
        <v>260</v>
      </c>
      <c r="D30" s="15" t="s">
        <v>261</v>
      </c>
      <c r="E30" s="19" t="s">
        <v>244</v>
      </c>
      <c r="F30" s="15" t="s">
        <v>189</v>
      </c>
      <c r="G30" s="15" t="s">
        <v>214</v>
      </c>
      <c r="H30" s="15" t="s">
        <v>171</v>
      </c>
      <c r="I30" s="15" t="s">
        <v>29</v>
      </c>
      <c r="J30" s="15" t="s">
        <v>31</v>
      </c>
      <c r="K30" s="70" t="s">
        <v>245</v>
      </c>
      <c r="L30" s="15" t="s">
        <v>242</v>
      </c>
      <c r="M30" s="15" t="s">
        <v>243</v>
      </c>
      <c r="N30" s="15"/>
      <c r="O30" s="15"/>
      <c r="P30" s="15"/>
      <c r="Q30" s="15"/>
      <c r="R30" s="15"/>
      <c r="S30" s="15"/>
      <c r="T30" s="15"/>
      <c r="U30" s="19"/>
      <c r="V30" s="19"/>
      <c r="W30" s="15"/>
      <c r="X30" s="19"/>
    </row>
    <row r="31" spans="1:24" s="73" customFormat="1" ht="30" customHeight="1" x14ac:dyDescent="0.3">
      <c r="A31" s="71">
        <f t="shared" si="0"/>
        <v>28</v>
      </c>
      <c r="B31" s="71">
        <v>0</v>
      </c>
      <c r="C31" s="71" t="s">
        <v>1245</v>
      </c>
      <c r="D31" s="71" t="s">
        <v>1246</v>
      </c>
      <c r="E31" s="72" t="s">
        <v>1050</v>
      </c>
      <c r="F31" s="71" t="s">
        <v>189</v>
      </c>
      <c r="G31" s="71" t="s">
        <v>214</v>
      </c>
      <c r="H31" s="71" t="s">
        <v>171</v>
      </c>
      <c r="I31" s="71" t="s">
        <v>29</v>
      </c>
      <c r="J31" s="71" t="s">
        <v>31</v>
      </c>
      <c r="K31" s="75" t="s">
        <v>245</v>
      </c>
      <c r="L31" s="71" t="s">
        <v>1247</v>
      </c>
      <c r="M31" s="71" t="s">
        <v>1248</v>
      </c>
      <c r="N31" s="71"/>
      <c r="O31" s="71"/>
      <c r="P31" s="71"/>
      <c r="Q31" s="71"/>
      <c r="R31" s="71"/>
      <c r="S31" s="71"/>
      <c r="T31" s="71"/>
      <c r="U31" s="72"/>
      <c r="V31" s="72"/>
      <c r="W31" s="71"/>
      <c r="X31" s="72"/>
    </row>
    <row r="32" spans="1:24" s="2" customFormat="1" ht="30" customHeight="1" x14ac:dyDescent="0.3">
      <c r="A32" s="15">
        <f t="shared" si="0"/>
        <v>29</v>
      </c>
      <c r="B32" s="15" t="s">
        <v>172</v>
      </c>
      <c r="C32" s="15" t="s">
        <v>262</v>
      </c>
      <c r="D32" s="15" t="s">
        <v>189</v>
      </c>
      <c r="E32" s="19" t="s">
        <v>263</v>
      </c>
      <c r="F32" s="15" t="s">
        <v>189</v>
      </c>
      <c r="G32" s="15" t="s">
        <v>214</v>
      </c>
      <c r="H32" s="15" t="s">
        <v>171</v>
      </c>
      <c r="I32" s="15" t="s">
        <v>239</v>
      </c>
      <c r="J32" s="15" t="s">
        <v>31</v>
      </c>
      <c r="K32" s="70" t="s">
        <v>245</v>
      </c>
      <c r="L32" s="70" t="s">
        <v>245</v>
      </c>
      <c r="M32" s="15" t="s">
        <v>240</v>
      </c>
      <c r="N32" s="15"/>
      <c r="O32" s="15"/>
      <c r="P32" s="15"/>
      <c r="Q32" s="15"/>
      <c r="R32" s="15"/>
      <c r="S32" s="15"/>
      <c r="T32" s="15"/>
      <c r="U32" s="19"/>
      <c r="V32" s="19"/>
      <c r="W32" s="15"/>
      <c r="X32" s="19"/>
    </row>
    <row r="33" spans="1:24" s="2" customFormat="1" ht="30" customHeight="1" x14ac:dyDescent="0.3">
      <c r="A33" s="15">
        <f t="shared" si="0"/>
        <v>30</v>
      </c>
      <c r="B33" s="15" t="s">
        <v>172</v>
      </c>
      <c r="C33" s="15" t="s">
        <v>264</v>
      </c>
      <c r="D33" s="15" t="s">
        <v>189</v>
      </c>
      <c r="E33" s="19" t="s">
        <v>265</v>
      </c>
      <c r="F33" s="15" t="s">
        <v>189</v>
      </c>
      <c r="G33" s="15" t="s">
        <v>214</v>
      </c>
      <c r="H33" s="15" t="s">
        <v>171</v>
      </c>
      <c r="I33" s="15" t="s">
        <v>239</v>
      </c>
      <c r="J33" s="15" t="s">
        <v>31</v>
      </c>
      <c r="K33" s="70" t="s">
        <v>245</v>
      </c>
      <c r="L33" s="70" t="s">
        <v>245</v>
      </c>
      <c r="M33" s="15" t="s">
        <v>246</v>
      </c>
      <c r="N33" s="15"/>
      <c r="O33" s="15"/>
      <c r="P33" s="15"/>
      <c r="Q33" s="15"/>
      <c r="R33" s="15"/>
      <c r="S33" s="15"/>
      <c r="T33" s="15"/>
      <c r="U33" s="19"/>
      <c r="V33" s="19"/>
      <c r="W33" s="15"/>
      <c r="X33" s="19"/>
    </row>
    <row r="34" spans="1:24" s="2" customFormat="1" ht="30" customHeight="1" x14ac:dyDescent="0.3">
      <c r="A34" s="15">
        <f t="shared" si="0"/>
        <v>31</v>
      </c>
      <c r="B34" s="15" t="s">
        <v>172</v>
      </c>
      <c r="C34" s="15" t="s">
        <v>266</v>
      </c>
      <c r="D34" s="15" t="s">
        <v>267</v>
      </c>
      <c r="E34" s="19" t="s">
        <v>268</v>
      </c>
      <c r="F34" s="15" t="s">
        <v>190</v>
      </c>
      <c r="G34" s="15" t="s">
        <v>214</v>
      </c>
      <c r="H34" s="15" t="s">
        <v>171</v>
      </c>
      <c r="I34" s="15" t="s">
        <v>29</v>
      </c>
      <c r="J34" s="15" t="s">
        <v>31</v>
      </c>
      <c r="K34" s="70" t="s">
        <v>245</v>
      </c>
      <c r="L34" s="70" t="s">
        <v>245</v>
      </c>
      <c r="M34" s="15" t="s">
        <v>241</v>
      </c>
      <c r="N34" s="15"/>
      <c r="O34" s="15"/>
      <c r="P34" s="15"/>
      <c r="Q34" s="15"/>
      <c r="R34" s="15"/>
      <c r="S34" s="15"/>
      <c r="T34" s="15"/>
      <c r="U34" s="19"/>
      <c r="V34" s="19"/>
      <c r="W34" s="15"/>
      <c r="X34" s="19"/>
    </row>
    <row r="35" spans="1:24" s="2" customFormat="1" ht="30" customHeight="1" x14ac:dyDescent="0.3">
      <c r="A35" s="15">
        <f t="shared" si="0"/>
        <v>32</v>
      </c>
      <c r="B35" s="15" t="s">
        <v>172</v>
      </c>
      <c r="C35" s="15" t="s">
        <v>269</v>
      </c>
      <c r="D35" s="15" t="s">
        <v>270</v>
      </c>
      <c r="E35" s="19" t="s">
        <v>271</v>
      </c>
      <c r="F35" s="15" t="s">
        <v>190</v>
      </c>
      <c r="G35" s="15" t="s">
        <v>214</v>
      </c>
      <c r="H35" s="15" t="s">
        <v>171</v>
      </c>
      <c r="I35" s="15" t="s">
        <v>29</v>
      </c>
      <c r="J35" s="15" t="s">
        <v>31</v>
      </c>
      <c r="K35" s="70" t="s">
        <v>245</v>
      </c>
      <c r="L35" s="70" t="s">
        <v>245</v>
      </c>
      <c r="M35" s="15" t="s">
        <v>240</v>
      </c>
      <c r="N35" s="15"/>
      <c r="O35" s="15"/>
      <c r="P35" s="15"/>
      <c r="Q35" s="15"/>
      <c r="R35" s="15"/>
      <c r="S35" s="15"/>
      <c r="T35" s="15"/>
      <c r="U35" s="19"/>
      <c r="V35" s="19"/>
      <c r="W35" s="15"/>
      <c r="X35" s="19"/>
    </row>
    <row r="36" spans="1:24" s="2" customFormat="1" ht="30" customHeight="1" x14ac:dyDescent="0.3">
      <c r="A36" s="15">
        <f t="shared" si="0"/>
        <v>33</v>
      </c>
      <c r="B36" s="15" t="s">
        <v>172</v>
      </c>
      <c r="C36" s="15" t="s">
        <v>272</v>
      </c>
      <c r="D36" s="15" t="s">
        <v>273</v>
      </c>
      <c r="E36" s="19" t="s">
        <v>244</v>
      </c>
      <c r="F36" s="15" t="s">
        <v>190</v>
      </c>
      <c r="G36" s="15" t="s">
        <v>214</v>
      </c>
      <c r="H36" s="15" t="s">
        <v>171</v>
      </c>
      <c r="I36" s="15" t="s">
        <v>29</v>
      </c>
      <c r="J36" s="15" t="s">
        <v>31</v>
      </c>
      <c r="K36" s="70" t="s">
        <v>245</v>
      </c>
      <c r="L36" s="15" t="s">
        <v>242</v>
      </c>
      <c r="M36" s="15" t="s">
        <v>243</v>
      </c>
      <c r="N36" s="15"/>
      <c r="O36" s="15"/>
      <c r="P36" s="15"/>
      <c r="Q36" s="15"/>
      <c r="R36" s="15"/>
      <c r="S36" s="15"/>
      <c r="T36" s="15"/>
      <c r="U36" s="19"/>
      <c r="V36" s="19"/>
      <c r="W36" s="15"/>
      <c r="X36" s="19"/>
    </row>
    <row r="37" spans="1:24" s="73" customFormat="1" ht="30" customHeight="1" x14ac:dyDescent="0.3">
      <c r="A37" s="71">
        <f t="shared" si="0"/>
        <v>34</v>
      </c>
      <c r="B37" s="71">
        <v>0</v>
      </c>
      <c r="C37" s="71" t="s">
        <v>1249</v>
      </c>
      <c r="D37" s="71" t="s">
        <v>1250</v>
      </c>
      <c r="E37" s="72" t="s">
        <v>1050</v>
      </c>
      <c r="F37" s="71" t="s">
        <v>1251</v>
      </c>
      <c r="G37" s="71" t="s">
        <v>214</v>
      </c>
      <c r="H37" s="71" t="s">
        <v>171</v>
      </c>
      <c r="I37" s="71" t="s">
        <v>29</v>
      </c>
      <c r="J37" s="71" t="s">
        <v>31</v>
      </c>
      <c r="K37" s="75" t="s">
        <v>245</v>
      </c>
      <c r="L37" s="71" t="s">
        <v>1247</v>
      </c>
      <c r="M37" s="71" t="s">
        <v>1248</v>
      </c>
      <c r="N37" s="71"/>
      <c r="O37" s="71"/>
      <c r="P37" s="71"/>
      <c r="Q37" s="71"/>
      <c r="R37" s="71"/>
      <c r="S37" s="71"/>
      <c r="T37" s="71"/>
      <c r="U37" s="72"/>
      <c r="V37" s="72"/>
      <c r="W37" s="71"/>
      <c r="X37" s="72"/>
    </row>
    <row r="38" spans="1:24" s="2" customFormat="1" ht="30" customHeight="1" x14ac:dyDescent="0.3">
      <c r="A38" s="15">
        <f t="shared" si="0"/>
        <v>35</v>
      </c>
      <c r="B38" s="15" t="s">
        <v>172</v>
      </c>
      <c r="C38" s="15" t="s">
        <v>274</v>
      </c>
      <c r="D38" s="15" t="s">
        <v>190</v>
      </c>
      <c r="E38" s="19" t="s">
        <v>275</v>
      </c>
      <c r="F38" s="15" t="s">
        <v>190</v>
      </c>
      <c r="G38" s="15" t="s">
        <v>214</v>
      </c>
      <c r="H38" s="15" t="s">
        <v>171</v>
      </c>
      <c r="I38" s="15" t="s">
        <v>239</v>
      </c>
      <c r="J38" s="15" t="s">
        <v>31</v>
      </c>
      <c r="K38" s="70" t="s">
        <v>245</v>
      </c>
      <c r="L38" s="70" t="s">
        <v>245</v>
      </c>
      <c r="M38" s="15" t="s">
        <v>240</v>
      </c>
      <c r="N38" s="15"/>
      <c r="O38" s="15"/>
      <c r="P38" s="15"/>
      <c r="Q38" s="15"/>
      <c r="R38" s="15"/>
      <c r="S38" s="15"/>
      <c r="T38" s="15"/>
      <c r="U38" s="19"/>
      <c r="V38" s="19"/>
      <c r="W38" s="15"/>
      <c r="X38" s="19"/>
    </row>
    <row r="39" spans="1:24" s="2" customFormat="1" ht="30" customHeight="1" x14ac:dyDescent="0.3">
      <c r="A39" s="15">
        <f t="shared" si="0"/>
        <v>36</v>
      </c>
      <c r="B39" s="15" t="s">
        <v>172</v>
      </c>
      <c r="C39" s="15" t="s">
        <v>276</v>
      </c>
      <c r="D39" s="15" t="s">
        <v>190</v>
      </c>
      <c r="E39" s="19" t="s">
        <v>277</v>
      </c>
      <c r="F39" s="15" t="s">
        <v>190</v>
      </c>
      <c r="G39" s="15" t="s">
        <v>214</v>
      </c>
      <c r="H39" s="15" t="s">
        <v>171</v>
      </c>
      <c r="I39" s="15" t="s">
        <v>239</v>
      </c>
      <c r="J39" s="15" t="s">
        <v>31</v>
      </c>
      <c r="K39" s="70" t="s">
        <v>245</v>
      </c>
      <c r="L39" s="70" t="s">
        <v>245</v>
      </c>
      <c r="M39" s="15" t="s">
        <v>246</v>
      </c>
      <c r="N39" s="15"/>
      <c r="O39" s="15"/>
      <c r="P39" s="15"/>
      <c r="Q39" s="15"/>
      <c r="R39" s="15"/>
      <c r="S39" s="15"/>
      <c r="T39" s="15"/>
      <c r="U39" s="19"/>
      <c r="V39" s="19"/>
      <c r="W39" s="15"/>
      <c r="X39" s="19"/>
    </row>
    <row r="40" spans="1:24" s="3" customFormat="1" ht="30" customHeight="1" x14ac:dyDescent="0.3">
      <c r="A40" s="14">
        <f t="shared" si="0"/>
        <v>37</v>
      </c>
      <c r="B40" s="15" t="s">
        <v>172</v>
      </c>
      <c r="C40" s="15" t="s">
        <v>278</v>
      </c>
      <c r="D40" s="15" t="s">
        <v>279</v>
      </c>
      <c r="E40" s="19" t="s">
        <v>703</v>
      </c>
      <c r="F40" s="15" t="s">
        <v>190</v>
      </c>
      <c r="G40" s="15" t="s">
        <v>214</v>
      </c>
      <c r="H40" s="14" t="s">
        <v>171</v>
      </c>
      <c r="I40" s="14" t="s">
        <v>25</v>
      </c>
      <c r="J40" s="14" t="s">
        <v>30</v>
      </c>
      <c r="K40" s="14" t="s">
        <v>163</v>
      </c>
      <c r="L40" s="14" t="s">
        <v>163</v>
      </c>
      <c r="M40" s="14" t="s">
        <v>163</v>
      </c>
      <c r="N40" s="14"/>
      <c r="O40" s="14"/>
      <c r="P40" s="14"/>
      <c r="Q40" s="14"/>
      <c r="R40" s="14">
        <v>0</v>
      </c>
      <c r="S40" s="14">
        <v>100</v>
      </c>
      <c r="T40" s="14" t="s">
        <v>252</v>
      </c>
      <c r="U40" s="5"/>
      <c r="V40" s="5"/>
      <c r="W40" s="14"/>
      <c r="X40" s="5"/>
    </row>
    <row r="41" spans="1:24" s="2" customFormat="1" ht="30" customHeight="1" x14ac:dyDescent="0.3">
      <c r="A41" s="15">
        <f t="shared" si="0"/>
        <v>38</v>
      </c>
      <c r="B41" s="15" t="s">
        <v>172</v>
      </c>
      <c r="C41" s="15" t="s">
        <v>280</v>
      </c>
      <c r="D41" s="15" t="s">
        <v>281</v>
      </c>
      <c r="E41" s="19" t="s">
        <v>282</v>
      </c>
      <c r="F41" s="15" t="s">
        <v>191</v>
      </c>
      <c r="G41" s="15" t="s">
        <v>214</v>
      </c>
      <c r="H41" s="15" t="s">
        <v>171</v>
      </c>
      <c r="I41" s="15" t="s">
        <v>29</v>
      </c>
      <c r="J41" s="15" t="s">
        <v>31</v>
      </c>
      <c r="K41" s="70" t="s">
        <v>245</v>
      </c>
      <c r="L41" s="70" t="s">
        <v>245</v>
      </c>
      <c r="M41" s="15" t="s">
        <v>241</v>
      </c>
      <c r="N41" s="15"/>
      <c r="O41" s="15"/>
      <c r="P41" s="15"/>
      <c r="Q41" s="15"/>
      <c r="R41" s="15"/>
      <c r="S41" s="15"/>
      <c r="T41" s="15"/>
      <c r="U41" s="19"/>
      <c r="V41" s="19"/>
      <c r="W41" s="15"/>
      <c r="X41" s="19"/>
    </row>
    <row r="42" spans="1:24" s="2" customFormat="1" ht="30" customHeight="1" x14ac:dyDescent="0.3">
      <c r="A42" s="15">
        <f t="shared" si="0"/>
        <v>39</v>
      </c>
      <c r="B42" s="15" t="s">
        <v>172</v>
      </c>
      <c r="C42" s="15" t="s">
        <v>283</v>
      </c>
      <c r="D42" s="15" t="s">
        <v>284</v>
      </c>
      <c r="E42" s="19" t="s">
        <v>285</v>
      </c>
      <c r="F42" s="15" t="s">
        <v>191</v>
      </c>
      <c r="G42" s="15" t="s">
        <v>214</v>
      </c>
      <c r="H42" s="15" t="s">
        <v>171</v>
      </c>
      <c r="I42" s="15" t="s">
        <v>29</v>
      </c>
      <c r="J42" s="15" t="s">
        <v>31</v>
      </c>
      <c r="K42" s="70" t="s">
        <v>245</v>
      </c>
      <c r="L42" s="70" t="s">
        <v>245</v>
      </c>
      <c r="M42" s="15" t="s">
        <v>240</v>
      </c>
      <c r="N42" s="15"/>
      <c r="O42" s="15"/>
      <c r="P42" s="15"/>
      <c r="Q42" s="15"/>
      <c r="R42" s="15"/>
      <c r="S42" s="15"/>
      <c r="T42" s="15"/>
      <c r="U42" s="19"/>
      <c r="V42" s="19"/>
      <c r="W42" s="15"/>
      <c r="X42" s="19"/>
    </row>
    <row r="43" spans="1:24" s="2" customFormat="1" ht="30" customHeight="1" x14ac:dyDescent="0.3">
      <c r="A43" s="15">
        <f t="shared" si="0"/>
        <v>40</v>
      </c>
      <c r="B43" s="15" t="s">
        <v>172</v>
      </c>
      <c r="C43" s="15" t="s">
        <v>286</v>
      </c>
      <c r="D43" s="15" t="s">
        <v>287</v>
      </c>
      <c r="E43" s="19" t="s">
        <v>244</v>
      </c>
      <c r="F43" s="15" t="s">
        <v>191</v>
      </c>
      <c r="G43" s="15" t="s">
        <v>214</v>
      </c>
      <c r="H43" s="15" t="s">
        <v>171</v>
      </c>
      <c r="I43" s="15" t="s">
        <v>29</v>
      </c>
      <c r="J43" s="15" t="s">
        <v>31</v>
      </c>
      <c r="K43" s="70" t="s">
        <v>245</v>
      </c>
      <c r="L43" s="15" t="s">
        <v>242</v>
      </c>
      <c r="M43" s="15" t="s">
        <v>243</v>
      </c>
      <c r="N43" s="15"/>
      <c r="O43" s="15"/>
      <c r="P43" s="15"/>
      <c r="Q43" s="15"/>
      <c r="R43" s="15"/>
      <c r="S43" s="15"/>
      <c r="T43" s="15"/>
      <c r="U43" s="19"/>
      <c r="V43" s="19"/>
      <c r="W43" s="15"/>
      <c r="X43" s="19"/>
    </row>
    <row r="44" spans="1:24" s="73" customFormat="1" ht="30" customHeight="1" x14ac:dyDescent="0.3">
      <c r="A44" s="71">
        <f t="shared" si="0"/>
        <v>41</v>
      </c>
      <c r="B44" s="71">
        <v>0</v>
      </c>
      <c r="C44" s="71" t="s">
        <v>1252</v>
      </c>
      <c r="D44" s="71" t="s">
        <v>1253</v>
      </c>
      <c r="E44" s="72" t="s">
        <v>1050</v>
      </c>
      <c r="F44" s="71" t="s">
        <v>1254</v>
      </c>
      <c r="G44" s="71" t="s">
        <v>214</v>
      </c>
      <c r="H44" s="71" t="s">
        <v>171</v>
      </c>
      <c r="I44" s="71" t="s">
        <v>29</v>
      </c>
      <c r="J44" s="71" t="s">
        <v>31</v>
      </c>
      <c r="K44" s="75" t="s">
        <v>245</v>
      </c>
      <c r="L44" s="71" t="s">
        <v>1247</v>
      </c>
      <c r="M44" s="71" t="s">
        <v>1248</v>
      </c>
      <c r="N44" s="71"/>
      <c r="O44" s="71"/>
      <c r="P44" s="71"/>
      <c r="Q44" s="71"/>
      <c r="R44" s="71"/>
      <c r="S44" s="71"/>
      <c r="T44" s="71"/>
      <c r="U44" s="72"/>
      <c r="V44" s="72"/>
      <c r="W44" s="71"/>
      <c r="X44" s="72"/>
    </row>
    <row r="45" spans="1:24" s="2" customFormat="1" ht="30" customHeight="1" x14ac:dyDescent="0.3">
      <c r="A45" s="15">
        <f t="shared" si="0"/>
        <v>42</v>
      </c>
      <c r="B45" s="15" t="s">
        <v>172</v>
      </c>
      <c r="C45" s="15" t="s">
        <v>288</v>
      </c>
      <c r="D45" s="15" t="s">
        <v>191</v>
      </c>
      <c r="E45" s="19" t="s">
        <v>289</v>
      </c>
      <c r="F45" s="15" t="s">
        <v>191</v>
      </c>
      <c r="G45" s="15" t="s">
        <v>214</v>
      </c>
      <c r="H45" s="15" t="s">
        <v>171</v>
      </c>
      <c r="I45" s="15" t="s">
        <v>239</v>
      </c>
      <c r="J45" s="15" t="s">
        <v>31</v>
      </c>
      <c r="K45" s="70" t="s">
        <v>245</v>
      </c>
      <c r="L45" s="70" t="s">
        <v>245</v>
      </c>
      <c r="M45" s="15" t="s">
        <v>240</v>
      </c>
      <c r="N45" s="15"/>
      <c r="O45" s="15"/>
      <c r="P45" s="15"/>
      <c r="Q45" s="15"/>
      <c r="R45" s="15"/>
      <c r="S45" s="15"/>
      <c r="T45" s="15"/>
      <c r="U45" s="19"/>
      <c r="V45" s="19"/>
      <c r="W45" s="15"/>
      <c r="X45" s="19"/>
    </row>
    <row r="46" spans="1:24" s="2" customFormat="1" ht="30" customHeight="1" x14ac:dyDescent="0.3">
      <c r="A46" s="15">
        <f t="shared" si="0"/>
        <v>43</v>
      </c>
      <c r="B46" s="15" t="s">
        <v>172</v>
      </c>
      <c r="C46" s="15" t="s">
        <v>290</v>
      </c>
      <c r="D46" s="15" t="s">
        <v>191</v>
      </c>
      <c r="E46" s="19" t="s">
        <v>291</v>
      </c>
      <c r="F46" s="15" t="s">
        <v>191</v>
      </c>
      <c r="G46" s="15" t="s">
        <v>214</v>
      </c>
      <c r="H46" s="15" t="s">
        <v>171</v>
      </c>
      <c r="I46" s="15" t="s">
        <v>239</v>
      </c>
      <c r="J46" s="15" t="s">
        <v>31</v>
      </c>
      <c r="K46" s="70" t="s">
        <v>245</v>
      </c>
      <c r="L46" s="70" t="s">
        <v>245</v>
      </c>
      <c r="M46" s="15" t="s">
        <v>246</v>
      </c>
      <c r="N46" s="15"/>
      <c r="O46" s="15"/>
      <c r="P46" s="15"/>
      <c r="Q46" s="15"/>
      <c r="R46" s="15"/>
      <c r="S46" s="15"/>
      <c r="T46" s="15"/>
      <c r="U46" s="19"/>
      <c r="V46" s="19"/>
      <c r="W46" s="15"/>
      <c r="X46" s="19"/>
    </row>
    <row r="47" spans="1:24" s="2" customFormat="1" ht="30" customHeight="1" x14ac:dyDescent="0.3">
      <c r="A47" s="15">
        <f t="shared" si="0"/>
        <v>44</v>
      </c>
      <c r="B47" s="15" t="s">
        <v>172</v>
      </c>
      <c r="C47" s="15" t="s">
        <v>292</v>
      </c>
      <c r="D47" s="15" t="s">
        <v>293</v>
      </c>
      <c r="E47" s="19" t="s">
        <v>294</v>
      </c>
      <c r="F47" s="15" t="s">
        <v>192</v>
      </c>
      <c r="G47" s="15" t="s">
        <v>214</v>
      </c>
      <c r="H47" s="15" t="s">
        <v>171</v>
      </c>
      <c r="I47" s="15" t="s">
        <v>29</v>
      </c>
      <c r="J47" s="15" t="s">
        <v>31</v>
      </c>
      <c r="K47" s="70" t="s">
        <v>245</v>
      </c>
      <c r="L47" s="70" t="s">
        <v>245</v>
      </c>
      <c r="M47" s="15" t="s">
        <v>241</v>
      </c>
      <c r="N47" s="15"/>
      <c r="O47" s="15"/>
      <c r="P47" s="15"/>
      <c r="Q47" s="15"/>
      <c r="R47" s="15"/>
      <c r="S47" s="15"/>
      <c r="T47" s="15"/>
      <c r="U47" s="19"/>
      <c r="V47" s="19"/>
      <c r="W47" s="15"/>
      <c r="X47" s="19"/>
    </row>
    <row r="48" spans="1:24" s="2" customFormat="1" ht="30" customHeight="1" x14ac:dyDescent="0.3">
      <c r="A48" s="15">
        <f t="shared" si="0"/>
        <v>45</v>
      </c>
      <c r="B48" s="15" t="s">
        <v>172</v>
      </c>
      <c r="C48" s="15" t="s">
        <v>295</v>
      </c>
      <c r="D48" s="15" t="s">
        <v>296</v>
      </c>
      <c r="E48" s="19" t="s">
        <v>297</v>
      </c>
      <c r="F48" s="15" t="s">
        <v>192</v>
      </c>
      <c r="G48" s="15" t="s">
        <v>214</v>
      </c>
      <c r="H48" s="15" t="s">
        <v>171</v>
      </c>
      <c r="I48" s="15" t="s">
        <v>29</v>
      </c>
      <c r="J48" s="15" t="s">
        <v>31</v>
      </c>
      <c r="K48" s="70" t="s">
        <v>245</v>
      </c>
      <c r="L48" s="70" t="s">
        <v>245</v>
      </c>
      <c r="M48" s="15" t="s">
        <v>240</v>
      </c>
      <c r="N48" s="15"/>
      <c r="O48" s="15"/>
      <c r="P48" s="15"/>
      <c r="Q48" s="15"/>
      <c r="R48" s="15"/>
      <c r="S48" s="15"/>
      <c r="T48" s="15"/>
      <c r="U48" s="19"/>
      <c r="V48" s="19"/>
      <c r="W48" s="15"/>
      <c r="X48" s="19"/>
    </row>
    <row r="49" spans="1:24" s="2" customFormat="1" ht="30" customHeight="1" x14ac:dyDescent="0.3">
      <c r="A49" s="15">
        <f t="shared" si="0"/>
        <v>46</v>
      </c>
      <c r="B49" s="15" t="s">
        <v>172</v>
      </c>
      <c r="C49" s="15" t="s">
        <v>298</v>
      </c>
      <c r="D49" s="15" t="s">
        <v>299</v>
      </c>
      <c r="E49" s="19" t="s">
        <v>244</v>
      </c>
      <c r="F49" s="15" t="s">
        <v>192</v>
      </c>
      <c r="G49" s="15" t="s">
        <v>214</v>
      </c>
      <c r="H49" s="15" t="s">
        <v>171</v>
      </c>
      <c r="I49" s="15" t="s">
        <v>29</v>
      </c>
      <c r="J49" s="15" t="s">
        <v>31</v>
      </c>
      <c r="K49" s="70" t="s">
        <v>245</v>
      </c>
      <c r="L49" s="15" t="s">
        <v>242</v>
      </c>
      <c r="M49" s="15" t="s">
        <v>243</v>
      </c>
      <c r="N49" s="15"/>
      <c r="O49" s="15"/>
      <c r="P49" s="15"/>
      <c r="Q49" s="15"/>
      <c r="R49" s="15"/>
      <c r="S49" s="15"/>
      <c r="T49" s="15"/>
      <c r="U49" s="19"/>
      <c r="V49" s="19"/>
      <c r="W49" s="15"/>
      <c r="X49" s="19"/>
    </row>
    <row r="50" spans="1:24" s="73" customFormat="1" ht="30" customHeight="1" x14ac:dyDescent="0.3">
      <c r="A50" s="71">
        <f t="shared" si="0"/>
        <v>47</v>
      </c>
      <c r="B50" s="71">
        <v>0</v>
      </c>
      <c r="C50" s="71" t="s">
        <v>1255</v>
      </c>
      <c r="D50" s="71" t="s">
        <v>1256</v>
      </c>
      <c r="E50" s="72" t="s">
        <v>1050</v>
      </c>
      <c r="F50" s="71" t="s">
        <v>1257</v>
      </c>
      <c r="G50" s="71" t="s">
        <v>214</v>
      </c>
      <c r="H50" s="71" t="s">
        <v>171</v>
      </c>
      <c r="I50" s="71" t="s">
        <v>29</v>
      </c>
      <c r="J50" s="71" t="s">
        <v>31</v>
      </c>
      <c r="K50" s="75" t="s">
        <v>245</v>
      </c>
      <c r="L50" s="71" t="s">
        <v>1247</v>
      </c>
      <c r="M50" s="71" t="s">
        <v>1248</v>
      </c>
      <c r="N50" s="71"/>
      <c r="O50" s="71"/>
      <c r="P50" s="71"/>
      <c r="Q50" s="71"/>
      <c r="R50" s="71"/>
      <c r="S50" s="71"/>
      <c r="T50" s="71"/>
      <c r="U50" s="72"/>
      <c r="V50" s="72"/>
      <c r="W50" s="71"/>
      <c r="X50" s="72"/>
    </row>
    <row r="51" spans="1:24" s="2" customFormat="1" ht="30" customHeight="1" x14ac:dyDescent="0.3">
      <c r="A51" s="15">
        <f t="shared" si="0"/>
        <v>48</v>
      </c>
      <c r="B51" s="15" t="s">
        <v>172</v>
      </c>
      <c r="C51" s="15" t="s">
        <v>300</v>
      </c>
      <c r="D51" s="15" t="s">
        <v>192</v>
      </c>
      <c r="E51" s="19" t="s">
        <v>301</v>
      </c>
      <c r="F51" s="15" t="s">
        <v>192</v>
      </c>
      <c r="G51" s="15" t="s">
        <v>214</v>
      </c>
      <c r="H51" s="15" t="s">
        <v>171</v>
      </c>
      <c r="I51" s="15" t="s">
        <v>239</v>
      </c>
      <c r="J51" s="15" t="s">
        <v>31</v>
      </c>
      <c r="K51" s="70" t="s">
        <v>245</v>
      </c>
      <c r="L51" s="70" t="s">
        <v>245</v>
      </c>
      <c r="M51" s="15" t="s">
        <v>240</v>
      </c>
      <c r="N51" s="15"/>
      <c r="O51" s="15"/>
      <c r="P51" s="15"/>
      <c r="Q51" s="15"/>
      <c r="R51" s="15"/>
      <c r="S51" s="15"/>
      <c r="T51" s="15"/>
      <c r="U51" s="19"/>
      <c r="V51" s="19"/>
      <c r="W51" s="15"/>
      <c r="X51" s="19"/>
    </row>
    <row r="52" spans="1:24" s="2" customFormat="1" ht="30" customHeight="1" x14ac:dyDescent="0.3">
      <c r="A52" s="15">
        <f t="shared" si="0"/>
        <v>49</v>
      </c>
      <c r="B52" s="15" t="s">
        <v>172</v>
      </c>
      <c r="C52" s="15" t="s">
        <v>302</v>
      </c>
      <c r="D52" s="15" t="s">
        <v>192</v>
      </c>
      <c r="E52" s="19" t="s">
        <v>303</v>
      </c>
      <c r="F52" s="15" t="s">
        <v>192</v>
      </c>
      <c r="G52" s="15" t="s">
        <v>214</v>
      </c>
      <c r="H52" s="15" t="s">
        <v>171</v>
      </c>
      <c r="I52" s="15" t="s">
        <v>239</v>
      </c>
      <c r="J52" s="15" t="s">
        <v>31</v>
      </c>
      <c r="K52" s="70" t="s">
        <v>245</v>
      </c>
      <c r="L52" s="70" t="s">
        <v>245</v>
      </c>
      <c r="M52" s="15" t="s">
        <v>246</v>
      </c>
      <c r="N52" s="15"/>
      <c r="O52" s="15"/>
      <c r="P52" s="15"/>
      <c r="Q52" s="15"/>
      <c r="R52" s="15"/>
      <c r="S52" s="15"/>
      <c r="T52" s="15"/>
      <c r="U52" s="19"/>
      <c r="V52" s="19"/>
      <c r="W52" s="15"/>
      <c r="X52" s="19"/>
    </row>
    <row r="53" spans="1:24" s="2" customFormat="1" ht="30" customHeight="1" x14ac:dyDescent="0.3">
      <c r="A53" s="15">
        <f t="shared" si="0"/>
        <v>50</v>
      </c>
      <c r="B53" s="15" t="s">
        <v>172</v>
      </c>
      <c r="C53" s="15" t="s">
        <v>304</v>
      </c>
      <c r="D53" s="15" t="s">
        <v>305</v>
      </c>
      <c r="E53" s="19" t="s">
        <v>306</v>
      </c>
      <c r="F53" s="15" t="s">
        <v>193</v>
      </c>
      <c r="G53" s="15" t="s">
        <v>214</v>
      </c>
      <c r="H53" s="15" t="s">
        <v>171</v>
      </c>
      <c r="I53" s="15" t="s">
        <v>29</v>
      </c>
      <c r="J53" s="15" t="s">
        <v>31</v>
      </c>
      <c r="K53" s="70" t="s">
        <v>245</v>
      </c>
      <c r="L53" s="70" t="s">
        <v>245</v>
      </c>
      <c r="M53" s="15" t="s">
        <v>241</v>
      </c>
      <c r="N53" s="15"/>
      <c r="O53" s="15"/>
      <c r="P53" s="15"/>
      <c r="Q53" s="15"/>
      <c r="R53" s="15"/>
      <c r="S53" s="15"/>
      <c r="T53" s="15"/>
      <c r="U53" s="19"/>
      <c r="V53" s="19"/>
      <c r="W53" s="15"/>
      <c r="X53" s="19"/>
    </row>
    <row r="54" spans="1:24" s="2" customFormat="1" ht="30" customHeight="1" x14ac:dyDescent="0.3">
      <c r="A54" s="15">
        <f t="shared" si="0"/>
        <v>51</v>
      </c>
      <c r="B54" s="15" t="s">
        <v>172</v>
      </c>
      <c r="C54" s="15" t="s">
        <v>307</v>
      </c>
      <c r="D54" s="15" t="s">
        <v>308</v>
      </c>
      <c r="E54" s="19" t="s">
        <v>309</v>
      </c>
      <c r="F54" s="15" t="s">
        <v>193</v>
      </c>
      <c r="G54" s="15" t="s">
        <v>214</v>
      </c>
      <c r="H54" s="15" t="s">
        <v>171</v>
      </c>
      <c r="I54" s="15" t="s">
        <v>29</v>
      </c>
      <c r="J54" s="15" t="s">
        <v>31</v>
      </c>
      <c r="K54" s="70" t="s">
        <v>245</v>
      </c>
      <c r="L54" s="70" t="s">
        <v>245</v>
      </c>
      <c r="M54" s="15" t="s">
        <v>240</v>
      </c>
      <c r="N54" s="15"/>
      <c r="O54" s="15"/>
      <c r="P54" s="15"/>
      <c r="Q54" s="15"/>
      <c r="R54" s="15"/>
      <c r="S54" s="15"/>
      <c r="T54" s="15"/>
      <c r="U54" s="19"/>
      <c r="V54" s="19"/>
      <c r="W54" s="15"/>
      <c r="X54" s="19"/>
    </row>
    <row r="55" spans="1:24" s="2" customFormat="1" ht="30" customHeight="1" x14ac:dyDescent="0.3">
      <c r="A55" s="15">
        <f t="shared" si="0"/>
        <v>52</v>
      </c>
      <c r="B55" s="15" t="s">
        <v>172</v>
      </c>
      <c r="C55" s="15" t="s">
        <v>310</v>
      </c>
      <c r="D55" s="15" t="s">
        <v>311</v>
      </c>
      <c r="E55" s="19" t="s">
        <v>244</v>
      </c>
      <c r="F55" s="15" t="s">
        <v>193</v>
      </c>
      <c r="G55" s="15" t="s">
        <v>214</v>
      </c>
      <c r="H55" s="15" t="s">
        <v>171</v>
      </c>
      <c r="I55" s="15" t="s">
        <v>29</v>
      </c>
      <c r="J55" s="15" t="s">
        <v>31</v>
      </c>
      <c r="K55" s="70" t="s">
        <v>245</v>
      </c>
      <c r="L55" s="15" t="s">
        <v>242</v>
      </c>
      <c r="M55" s="15" t="s">
        <v>243</v>
      </c>
      <c r="N55" s="15"/>
      <c r="O55" s="15"/>
      <c r="P55" s="15"/>
      <c r="Q55" s="15"/>
      <c r="R55" s="15"/>
      <c r="S55" s="15"/>
      <c r="T55" s="15"/>
      <c r="U55" s="19"/>
      <c r="V55" s="19"/>
      <c r="W55" s="15"/>
      <c r="X55" s="19"/>
    </row>
    <row r="56" spans="1:24" s="73" customFormat="1" ht="30" customHeight="1" x14ac:dyDescent="0.3">
      <c r="A56" s="71">
        <f t="shared" si="0"/>
        <v>53</v>
      </c>
      <c r="B56" s="71">
        <v>0</v>
      </c>
      <c r="C56" s="71" t="s">
        <v>1258</v>
      </c>
      <c r="D56" s="71" t="s">
        <v>1259</v>
      </c>
      <c r="E56" s="72" t="s">
        <v>1050</v>
      </c>
      <c r="F56" s="71" t="s">
        <v>1260</v>
      </c>
      <c r="G56" s="71" t="s">
        <v>214</v>
      </c>
      <c r="H56" s="71" t="s">
        <v>171</v>
      </c>
      <c r="I56" s="71" t="s">
        <v>29</v>
      </c>
      <c r="J56" s="71" t="s">
        <v>31</v>
      </c>
      <c r="K56" s="75" t="s">
        <v>245</v>
      </c>
      <c r="L56" s="71" t="s">
        <v>1247</v>
      </c>
      <c r="M56" s="71" t="s">
        <v>1248</v>
      </c>
      <c r="N56" s="71"/>
      <c r="O56" s="71"/>
      <c r="P56" s="71"/>
      <c r="Q56" s="71"/>
      <c r="R56" s="71"/>
      <c r="S56" s="71"/>
      <c r="T56" s="71"/>
      <c r="U56" s="72"/>
      <c r="V56" s="72"/>
      <c r="W56" s="71"/>
      <c r="X56" s="72"/>
    </row>
    <row r="57" spans="1:24" s="2" customFormat="1" ht="30" customHeight="1" x14ac:dyDescent="0.3">
      <c r="A57" s="15">
        <f t="shared" si="0"/>
        <v>54</v>
      </c>
      <c r="B57" s="15" t="s">
        <v>172</v>
      </c>
      <c r="C57" s="15" t="s">
        <v>312</v>
      </c>
      <c r="D57" s="15" t="s">
        <v>193</v>
      </c>
      <c r="E57" s="19" t="s">
        <v>313</v>
      </c>
      <c r="F57" s="15" t="s">
        <v>193</v>
      </c>
      <c r="G57" s="15" t="s">
        <v>214</v>
      </c>
      <c r="H57" s="15" t="s">
        <v>171</v>
      </c>
      <c r="I57" s="15" t="s">
        <v>239</v>
      </c>
      <c r="J57" s="15" t="s">
        <v>31</v>
      </c>
      <c r="K57" s="70" t="s">
        <v>245</v>
      </c>
      <c r="L57" s="70" t="s">
        <v>245</v>
      </c>
      <c r="M57" s="15" t="s">
        <v>240</v>
      </c>
      <c r="N57" s="15"/>
      <c r="O57" s="15"/>
      <c r="P57" s="15"/>
      <c r="Q57" s="15"/>
      <c r="R57" s="15"/>
      <c r="S57" s="15"/>
      <c r="T57" s="15"/>
      <c r="U57" s="19"/>
      <c r="V57" s="19"/>
      <c r="W57" s="15"/>
      <c r="X57" s="19"/>
    </row>
    <row r="58" spans="1:24" s="2" customFormat="1" ht="30" customHeight="1" x14ac:dyDescent="0.3">
      <c r="A58" s="15">
        <f t="shared" si="0"/>
        <v>55</v>
      </c>
      <c r="B58" s="15" t="s">
        <v>172</v>
      </c>
      <c r="C58" s="15" t="s">
        <v>314</v>
      </c>
      <c r="D58" s="15" t="s">
        <v>193</v>
      </c>
      <c r="E58" s="19" t="s">
        <v>315</v>
      </c>
      <c r="F58" s="15" t="s">
        <v>193</v>
      </c>
      <c r="G58" s="15" t="s">
        <v>214</v>
      </c>
      <c r="H58" s="15" t="s">
        <v>171</v>
      </c>
      <c r="I58" s="15" t="s">
        <v>239</v>
      </c>
      <c r="J58" s="15" t="s">
        <v>31</v>
      </c>
      <c r="K58" s="70" t="s">
        <v>245</v>
      </c>
      <c r="L58" s="70" t="s">
        <v>245</v>
      </c>
      <c r="M58" s="15" t="s">
        <v>246</v>
      </c>
      <c r="N58" s="15"/>
      <c r="O58" s="15"/>
      <c r="P58" s="15"/>
      <c r="Q58" s="15"/>
      <c r="R58" s="15"/>
      <c r="S58" s="15"/>
      <c r="T58" s="15"/>
      <c r="U58" s="19"/>
      <c r="V58" s="19"/>
      <c r="W58" s="15"/>
      <c r="X58" s="19"/>
    </row>
    <row r="59" spans="1:24" s="3" customFormat="1" ht="30" customHeight="1" x14ac:dyDescent="0.3">
      <c r="A59" s="14">
        <f t="shared" si="0"/>
        <v>56</v>
      </c>
      <c r="B59" s="15" t="s">
        <v>172</v>
      </c>
      <c r="C59" s="15" t="s">
        <v>316</v>
      </c>
      <c r="D59" s="15" t="s">
        <v>317</v>
      </c>
      <c r="E59" s="19" t="s">
        <v>704</v>
      </c>
      <c r="F59" s="15" t="s">
        <v>193</v>
      </c>
      <c r="G59" s="15" t="s">
        <v>214</v>
      </c>
      <c r="H59" s="14" t="s">
        <v>171</v>
      </c>
      <c r="I59" s="14" t="s">
        <v>25</v>
      </c>
      <c r="J59" s="14" t="s">
        <v>30</v>
      </c>
      <c r="K59" s="14" t="s">
        <v>163</v>
      </c>
      <c r="L59" s="14" t="s">
        <v>163</v>
      </c>
      <c r="M59" s="14" t="s">
        <v>163</v>
      </c>
      <c r="N59" s="14"/>
      <c r="O59" s="14"/>
      <c r="P59" s="14"/>
      <c r="Q59" s="14"/>
      <c r="R59" s="14">
        <v>0</v>
      </c>
      <c r="S59" s="14">
        <v>100</v>
      </c>
      <c r="T59" s="14" t="s">
        <v>252</v>
      </c>
      <c r="U59" s="5"/>
      <c r="V59" s="5"/>
      <c r="W59" s="14"/>
      <c r="X59" s="5"/>
    </row>
    <row r="60" spans="1:24" s="2" customFormat="1" ht="30" customHeight="1" x14ac:dyDescent="0.3">
      <c r="A60" s="15">
        <f t="shared" si="0"/>
        <v>57</v>
      </c>
      <c r="B60" s="15" t="s">
        <v>172</v>
      </c>
      <c r="C60" s="15" t="s">
        <v>318</v>
      </c>
      <c r="D60" s="15" t="s">
        <v>319</v>
      </c>
      <c r="E60" s="19" t="s">
        <v>320</v>
      </c>
      <c r="F60" s="15" t="s">
        <v>194</v>
      </c>
      <c r="G60" s="15" t="s">
        <v>214</v>
      </c>
      <c r="H60" s="15" t="s">
        <v>171</v>
      </c>
      <c r="I60" s="15" t="s">
        <v>29</v>
      </c>
      <c r="J60" s="15" t="s">
        <v>31</v>
      </c>
      <c r="K60" s="70" t="s">
        <v>245</v>
      </c>
      <c r="L60" s="70" t="s">
        <v>245</v>
      </c>
      <c r="M60" s="15" t="s">
        <v>241</v>
      </c>
      <c r="N60" s="15"/>
      <c r="O60" s="15"/>
      <c r="P60" s="15"/>
      <c r="Q60" s="15"/>
      <c r="R60" s="15"/>
      <c r="S60" s="15"/>
      <c r="T60" s="15"/>
      <c r="U60" s="19"/>
      <c r="V60" s="19"/>
      <c r="W60" s="15"/>
      <c r="X60" s="19"/>
    </row>
    <row r="61" spans="1:24" s="2" customFormat="1" ht="30" customHeight="1" x14ac:dyDescent="0.3">
      <c r="A61" s="15">
        <f t="shared" si="0"/>
        <v>58</v>
      </c>
      <c r="B61" s="15" t="s">
        <v>172</v>
      </c>
      <c r="C61" s="15" t="s">
        <v>321</v>
      </c>
      <c r="D61" s="15" t="s">
        <v>322</v>
      </c>
      <c r="E61" s="19" t="s">
        <v>323</v>
      </c>
      <c r="F61" s="15" t="s">
        <v>194</v>
      </c>
      <c r="G61" s="15" t="s">
        <v>214</v>
      </c>
      <c r="H61" s="15" t="s">
        <v>171</v>
      </c>
      <c r="I61" s="15" t="s">
        <v>29</v>
      </c>
      <c r="J61" s="15" t="s">
        <v>31</v>
      </c>
      <c r="K61" s="70" t="s">
        <v>245</v>
      </c>
      <c r="L61" s="70" t="s">
        <v>245</v>
      </c>
      <c r="M61" s="15" t="s">
        <v>240</v>
      </c>
      <c r="N61" s="15"/>
      <c r="O61" s="15"/>
      <c r="P61" s="15"/>
      <c r="Q61" s="15"/>
      <c r="R61" s="15"/>
      <c r="S61" s="15"/>
      <c r="T61" s="15"/>
      <c r="U61" s="19"/>
      <c r="V61" s="19"/>
      <c r="W61" s="15"/>
      <c r="X61" s="19"/>
    </row>
    <row r="62" spans="1:24" s="2" customFormat="1" ht="30" customHeight="1" x14ac:dyDescent="0.3">
      <c r="A62" s="15">
        <f t="shared" si="0"/>
        <v>59</v>
      </c>
      <c r="B62" s="15" t="s">
        <v>172</v>
      </c>
      <c r="C62" s="15" t="s">
        <v>324</v>
      </c>
      <c r="D62" s="15" t="s">
        <v>325</v>
      </c>
      <c r="E62" s="19" t="s">
        <v>244</v>
      </c>
      <c r="F62" s="15" t="s">
        <v>194</v>
      </c>
      <c r="G62" s="15" t="s">
        <v>214</v>
      </c>
      <c r="H62" s="15" t="s">
        <v>171</v>
      </c>
      <c r="I62" s="15" t="s">
        <v>29</v>
      </c>
      <c r="J62" s="15" t="s">
        <v>31</v>
      </c>
      <c r="K62" s="70" t="s">
        <v>245</v>
      </c>
      <c r="L62" s="15" t="s">
        <v>242</v>
      </c>
      <c r="M62" s="15" t="s">
        <v>243</v>
      </c>
      <c r="N62" s="15"/>
      <c r="O62" s="15"/>
      <c r="P62" s="15"/>
      <c r="Q62" s="15"/>
      <c r="R62" s="15"/>
      <c r="S62" s="15"/>
      <c r="T62" s="15"/>
      <c r="U62" s="19"/>
      <c r="V62" s="19"/>
      <c r="W62" s="15"/>
      <c r="X62" s="19"/>
    </row>
    <row r="63" spans="1:24" s="73" customFormat="1" ht="30" customHeight="1" x14ac:dyDescent="0.3">
      <c r="A63" s="71">
        <f t="shared" si="0"/>
        <v>60</v>
      </c>
      <c r="B63" s="71">
        <v>0</v>
      </c>
      <c r="C63" s="71" t="s">
        <v>1261</v>
      </c>
      <c r="D63" s="71" t="s">
        <v>1262</v>
      </c>
      <c r="E63" s="72" t="s">
        <v>1050</v>
      </c>
      <c r="F63" s="71" t="s">
        <v>1263</v>
      </c>
      <c r="G63" s="71" t="s">
        <v>214</v>
      </c>
      <c r="H63" s="71" t="s">
        <v>171</v>
      </c>
      <c r="I63" s="71" t="s">
        <v>29</v>
      </c>
      <c r="J63" s="71" t="s">
        <v>31</v>
      </c>
      <c r="K63" s="75" t="s">
        <v>245</v>
      </c>
      <c r="L63" s="71" t="s">
        <v>1247</v>
      </c>
      <c r="M63" s="71" t="s">
        <v>1248</v>
      </c>
      <c r="N63" s="71"/>
      <c r="O63" s="71"/>
      <c r="P63" s="71"/>
      <c r="Q63" s="71"/>
      <c r="R63" s="71"/>
      <c r="S63" s="71"/>
      <c r="T63" s="71"/>
      <c r="U63" s="72"/>
      <c r="V63" s="72"/>
      <c r="W63" s="71"/>
      <c r="X63" s="72"/>
    </row>
    <row r="64" spans="1:24" s="2" customFormat="1" ht="30" customHeight="1" x14ac:dyDescent="0.3">
      <c r="A64" s="15">
        <f t="shared" si="0"/>
        <v>61</v>
      </c>
      <c r="B64" s="15" t="s">
        <v>172</v>
      </c>
      <c r="C64" s="15" t="s">
        <v>326</v>
      </c>
      <c r="D64" s="15" t="s">
        <v>194</v>
      </c>
      <c r="E64" s="19" t="s">
        <v>327</v>
      </c>
      <c r="F64" s="15" t="s">
        <v>194</v>
      </c>
      <c r="G64" s="15" t="s">
        <v>214</v>
      </c>
      <c r="H64" s="15" t="s">
        <v>171</v>
      </c>
      <c r="I64" s="15" t="s">
        <v>239</v>
      </c>
      <c r="J64" s="15" t="s">
        <v>31</v>
      </c>
      <c r="K64" s="70" t="s">
        <v>245</v>
      </c>
      <c r="L64" s="70" t="s">
        <v>245</v>
      </c>
      <c r="M64" s="15" t="s">
        <v>240</v>
      </c>
      <c r="N64" s="15"/>
      <c r="O64" s="15"/>
      <c r="P64" s="15"/>
      <c r="Q64" s="15"/>
      <c r="R64" s="15"/>
      <c r="S64" s="15"/>
      <c r="T64" s="15"/>
      <c r="U64" s="19"/>
      <c r="V64" s="19"/>
      <c r="W64" s="15"/>
      <c r="X64" s="19"/>
    </row>
    <row r="65" spans="1:24" s="2" customFormat="1" ht="30" customHeight="1" x14ac:dyDescent="0.3">
      <c r="A65" s="15">
        <f t="shared" si="0"/>
        <v>62</v>
      </c>
      <c r="B65" s="15" t="s">
        <v>172</v>
      </c>
      <c r="C65" s="15" t="s">
        <v>328</v>
      </c>
      <c r="D65" s="15" t="s">
        <v>194</v>
      </c>
      <c r="E65" s="19" t="s">
        <v>329</v>
      </c>
      <c r="F65" s="15" t="s">
        <v>194</v>
      </c>
      <c r="G65" s="15" t="s">
        <v>214</v>
      </c>
      <c r="H65" s="15" t="s">
        <v>171</v>
      </c>
      <c r="I65" s="15" t="s">
        <v>239</v>
      </c>
      <c r="J65" s="15" t="s">
        <v>31</v>
      </c>
      <c r="K65" s="70" t="s">
        <v>245</v>
      </c>
      <c r="L65" s="70" t="s">
        <v>245</v>
      </c>
      <c r="M65" s="15" t="s">
        <v>246</v>
      </c>
      <c r="N65" s="15"/>
      <c r="O65" s="15"/>
      <c r="P65" s="15"/>
      <c r="Q65" s="15"/>
      <c r="R65" s="15"/>
      <c r="S65" s="15"/>
      <c r="T65" s="15"/>
      <c r="U65" s="19"/>
      <c r="V65" s="19"/>
      <c r="W65" s="15"/>
      <c r="X65" s="19"/>
    </row>
    <row r="66" spans="1:24" s="2" customFormat="1" ht="30" customHeight="1" x14ac:dyDescent="0.3">
      <c r="A66" s="15">
        <f t="shared" si="0"/>
        <v>63</v>
      </c>
      <c r="B66" s="15" t="s">
        <v>172</v>
      </c>
      <c r="C66" s="15" t="s">
        <v>330</v>
      </c>
      <c r="D66" s="15" t="s">
        <v>331</v>
      </c>
      <c r="E66" s="19" t="s">
        <v>332</v>
      </c>
      <c r="F66" s="15" t="s">
        <v>195</v>
      </c>
      <c r="G66" s="15" t="s">
        <v>214</v>
      </c>
      <c r="H66" s="15" t="s">
        <v>171</v>
      </c>
      <c r="I66" s="15" t="s">
        <v>29</v>
      </c>
      <c r="J66" s="15" t="s">
        <v>31</v>
      </c>
      <c r="K66" s="70" t="s">
        <v>245</v>
      </c>
      <c r="L66" s="70" t="s">
        <v>245</v>
      </c>
      <c r="M66" s="15" t="s">
        <v>241</v>
      </c>
      <c r="N66" s="15"/>
      <c r="O66" s="15"/>
      <c r="P66" s="15"/>
      <c r="Q66" s="15"/>
      <c r="R66" s="15"/>
      <c r="S66" s="15"/>
      <c r="T66" s="15"/>
      <c r="U66" s="19"/>
      <c r="V66" s="19"/>
      <c r="W66" s="15"/>
      <c r="X66" s="19"/>
    </row>
    <row r="67" spans="1:24" s="2" customFormat="1" ht="30" customHeight="1" x14ac:dyDescent="0.3">
      <c r="A67" s="15">
        <f t="shared" si="0"/>
        <v>64</v>
      </c>
      <c r="B67" s="15" t="s">
        <v>172</v>
      </c>
      <c r="C67" s="15" t="s">
        <v>333</v>
      </c>
      <c r="D67" s="15" t="s">
        <v>334</v>
      </c>
      <c r="E67" s="19" t="s">
        <v>335</v>
      </c>
      <c r="F67" s="15" t="s">
        <v>195</v>
      </c>
      <c r="G67" s="15" t="s">
        <v>214</v>
      </c>
      <c r="H67" s="15" t="s">
        <v>171</v>
      </c>
      <c r="I67" s="15" t="s">
        <v>29</v>
      </c>
      <c r="J67" s="15" t="s">
        <v>31</v>
      </c>
      <c r="K67" s="70" t="s">
        <v>245</v>
      </c>
      <c r="L67" s="70" t="s">
        <v>245</v>
      </c>
      <c r="M67" s="15" t="s">
        <v>240</v>
      </c>
      <c r="N67" s="15"/>
      <c r="O67" s="15"/>
      <c r="P67" s="15"/>
      <c r="Q67" s="15"/>
      <c r="R67" s="15"/>
      <c r="S67" s="15"/>
      <c r="T67" s="15"/>
      <c r="U67" s="19"/>
      <c r="V67" s="19"/>
      <c r="W67" s="15"/>
      <c r="X67" s="19"/>
    </row>
    <row r="68" spans="1:24" s="2" customFormat="1" ht="30" customHeight="1" x14ac:dyDescent="0.3">
      <c r="A68" s="15">
        <f t="shared" si="0"/>
        <v>65</v>
      </c>
      <c r="B68" s="15" t="s">
        <v>172</v>
      </c>
      <c r="C68" s="15" t="s">
        <v>336</v>
      </c>
      <c r="D68" s="15" t="s">
        <v>337</v>
      </c>
      <c r="E68" s="19" t="s">
        <v>244</v>
      </c>
      <c r="F68" s="15" t="s">
        <v>195</v>
      </c>
      <c r="G68" s="15" t="s">
        <v>214</v>
      </c>
      <c r="H68" s="15" t="s">
        <v>171</v>
      </c>
      <c r="I68" s="15" t="s">
        <v>29</v>
      </c>
      <c r="J68" s="15" t="s">
        <v>31</v>
      </c>
      <c r="K68" s="70" t="s">
        <v>245</v>
      </c>
      <c r="L68" s="15" t="s">
        <v>242</v>
      </c>
      <c r="M68" s="15" t="s">
        <v>243</v>
      </c>
      <c r="N68" s="15"/>
      <c r="O68" s="15"/>
      <c r="P68" s="15"/>
      <c r="Q68" s="15"/>
      <c r="R68" s="15"/>
      <c r="S68" s="15"/>
      <c r="T68" s="15"/>
      <c r="U68" s="19"/>
      <c r="V68" s="19"/>
      <c r="W68" s="15"/>
      <c r="X68" s="19"/>
    </row>
    <row r="69" spans="1:24" s="73" customFormat="1" ht="30" customHeight="1" x14ac:dyDescent="0.3">
      <c r="A69" s="71">
        <f t="shared" si="0"/>
        <v>66</v>
      </c>
      <c r="B69" s="71">
        <v>0</v>
      </c>
      <c r="C69" s="71" t="s">
        <v>1264</v>
      </c>
      <c r="D69" s="71" t="s">
        <v>1265</v>
      </c>
      <c r="E69" s="72" t="s">
        <v>1050</v>
      </c>
      <c r="F69" s="71" t="s">
        <v>1266</v>
      </c>
      <c r="G69" s="71" t="s">
        <v>214</v>
      </c>
      <c r="H69" s="71" t="s">
        <v>171</v>
      </c>
      <c r="I69" s="71" t="s">
        <v>29</v>
      </c>
      <c r="J69" s="71" t="s">
        <v>31</v>
      </c>
      <c r="K69" s="75" t="s">
        <v>245</v>
      </c>
      <c r="L69" s="71" t="s">
        <v>1247</v>
      </c>
      <c r="M69" s="71" t="s">
        <v>1248</v>
      </c>
      <c r="N69" s="71"/>
      <c r="O69" s="71"/>
      <c r="P69" s="71"/>
      <c r="Q69" s="71"/>
      <c r="R69" s="71"/>
      <c r="S69" s="71"/>
      <c r="T69" s="71"/>
      <c r="U69" s="72"/>
      <c r="V69" s="72"/>
      <c r="W69" s="71"/>
      <c r="X69" s="72"/>
    </row>
    <row r="70" spans="1:24" s="2" customFormat="1" ht="30" customHeight="1" x14ac:dyDescent="0.3">
      <c r="A70" s="15">
        <f t="shared" si="0"/>
        <v>67</v>
      </c>
      <c r="B70" s="15" t="s">
        <v>172</v>
      </c>
      <c r="C70" s="15" t="s">
        <v>338</v>
      </c>
      <c r="D70" s="15" t="s">
        <v>195</v>
      </c>
      <c r="E70" s="19" t="s">
        <v>339</v>
      </c>
      <c r="F70" s="15" t="s">
        <v>195</v>
      </c>
      <c r="G70" s="15" t="s">
        <v>214</v>
      </c>
      <c r="H70" s="15" t="s">
        <v>171</v>
      </c>
      <c r="I70" s="15" t="s">
        <v>239</v>
      </c>
      <c r="J70" s="15" t="s">
        <v>31</v>
      </c>
      <c r="K70" s="70" t="s">
        <v>245</v>
      </c>
      <c r="L70" s="70" t="s">
        <v>245</v>
      </c>
      <c r="M70" s="15" t="s">
        <v>240</v>
      </c>
      <c r="N70" s="15"/>
      <c r="O70" s="15"/>
      <c r="P70" s="15"/>
      <c r="Q70" s="15"/>
      <c r="R70" s="15"/>
      <c r="S70" s="15"/>
      <c r="T70" s="15"/>
      <c r="U70" s="19"/>
      <c r="V70" s="19"/>
      <c r="W70" s="15"/>
      <c r="X70" s="19"/>
    </row>
    <row r="71" spans="1:24" s="2" customFormat="1" ht="30" customHeight="1" x14ac:dyDescent="0.3">
      <c r="A71" s="15">
        <f t="shared" si="0"/>
        <v>68</v>
      </c>
      <c r="B71" s="15" t="s">
        <v>172</v>
      </c>
      <c r="C71" s="15" t="s">
        <v>340</v>
      </c>
      <c r="D71" s="15" t="s">
        <v>195</v>
      </c>
      <c r="E71" s="19" t="s">
        <v>341</v>
      </c>
      <c r="F71" s="15" t="s">
        <v>195</v>
      </c>
      <c r="G71" s="15" t="s">
        <v>214</v>
      </c>
      <c r="H71" s="15" t="s">
        <v>171</v>
      </c>
      <c r="I71" s="15" t="s">
        <v>239</v>
      </c>
      <c r="J71" s="15" t="s">
        <v>31</v>
      </c>
      <c r="K71" s="70" t="s">
        <v>245</v>
      </c>
      <c r="L71" s="70" t="s">
        <v>245</v>
      </c>
      <c r="M71" s="15" t="s">
        <v>246</v>
      </c>
      <c r="N71" s="15"/>
      <c r="O71" s="15"/>
      <c r="P71" s="15"/>
      <c r="Q71" s="15"/>
      <c r="R71" s="15"/>
      <c r="S71" s="15"/>
      <c r="T71" s="15"/>
      <c r="U71" s="19"/>
      <c r="V71" s="19"/>
      <c r="W71" s="15"/>
      <c r="X71" s="19"/>
    </row>
    <row r="72" spans="1:24" s="2" customFormat="1" ht="30" customHeight="1" x14ac:dyDescent="0.3">
      <c r="A72" s="15">
        <f t="shared" si="0"/>
        <v>69</v>
      </c>
      <c r="B72" s="15" t="s">
        <v>172</v>
      </c>
      <c r="C72" s="15" t="s">
        <v>342</v>
      </c>
      <c r="D72" s="15" t="s">
        <v>343</v>
      </c>
      <c r="E72" s="19" t="s">
        <v>344</v>
      </c>
      <c r="F72" s="15" t="s">
        <v>196</v>
      </c>
      <c r="G72" s="15" t="s">
        <v>214</v>
      </c>
      <c r="H72" s="15" t="s">
        <v>171</v>
      </c>
      <c r="I72" s="15" t="s">
        <v>29</v>
      </c>
      <c r="J72" s="15" t="s">
        <v>31</v>
      </c>
      <c r="K72" s="70" t="s">
        <v>245</v>
      </c>
      <c r="L72" s="70" t="s">
        <v>245</v>
      </c>
      <c r="M72" s="15" t="s">
        <v>241</v>
      </c>
      <c r="N72" s="15"/>
      <c r="O72" s="15"/>
      <c r="P72" s="15"/>
      <c r="Q72" s="15"/>
      <c r="R72" s="15"/>
      <c r="S72" s="15"/>
      <c r="T72" s="15"/>
      <c r="U72" s="19"/>
      <c r="V72" s="19"/>
      <c r="W72" s="15"/>
      <c r="X72" s="19"/>
    </row>
    <row r="73" spans="1:24" s="2" customFormat="1" ht="30" customHeight="1" x14ac:dyDescent="0.3">
      <c r="A73" s="15">
        <f t="shared" si="0"/>
        <v>70</v>
      </c>
      <c r="B73" s="15" t="s">
        <v>172</v>
      </c>
      <c r="C73" s="15" t="s">
        <v>345</v>
      </c>
      <c r="D73" s="15" t="s">
        <v>346</v>
      </c>
      <c r="E73" s="19" t="s">
        <v>347</v>
      </c>
      <c r="F73" s="15" t="s">
        <v>196</v>
      </c>
      <c r="G73" s="15" t="s">
        <v>214</v>
      </c>
      <c r="H73" s="15" t="s">
        <v>171</v>
      </c>
      <c r="I73" s="15" t="s">
        <v>29</v>
      </c>
      <c r="J73" s="15" t="s">
        <v>31</v>
      </c>
      <c r="K73" s="70" t="s">
        <v>245</v>
      </c>
      <c r="L73" s="70" t="s">
        <v>245</v>
      </c>
      <c r="M73" s="15" t="s">
        <v>240</v>
      </c>
      <c r="N73" s="15"/>
      <c r="O73" s="15"/>
      <c r="P73" s="15"/>
      <c r="Q73" s="15"/>
      <c r="R73" s="15"/>
      <c r="S73" s="15"/>
      <c r="T73" s="15"/>
      <c r="U73" s="19"/>
      <c r="V73" s="19"/>
      <c r="W73" s="15"/>
      <c r="X73" s="19"/>
    </row>
    <row r="74" spans="1:24" s="2" customFormat="1" ht="30" customHeight="1" x14ac:dyDescent="0.3">
      <c r="A74" s="15">
        <f t="shared" si="0"/>
        <v>71</v>
      </c>
      <c r="B74" s="15" t="s">
        <v>172</v>
      </c>
      <c r="C74" s="15" t="s">
        <v>348</v>
      </c>
      <c r="D74" s="15" t="s">
        <v>349</v>
      </c>
      <c r="E74" s="19" t="s">
        <v>244</v>
      </c>
      <c r="F74" s="15" t="s">
        <v>196</v>
      </c>
      <c r="G74" s="15" t="s">
        <v>214</v>
      </c>
      <c r="H74" s="15" t="s">
        <v>171</v>
      </c>
      <c r="I74" s="15" t="s">
        <v>29</v>
      </c>
      <c r="J74" s="15" t="s">
        <v>31</v>
      </c>
      <c r="K74" s="70" t="s">
        <v>245</v>
      </c>
      <c r="L74" s="15" t="s">
        <v>242</v>
      </c>
      <c r="M74" s="15" t="s">
        <v>243</v>
      </c>
      <c r="N74" s="15"/>
      <c r="O74" s="15"/>
      <c r="P74" s="15"/>
      <c r="Q74" s="15"/>
      <c r="R74" s="15"/>
      <c r="S74" s="15"/>
      <c r="T74" s="15"/>
      <c r="U74" s="19"/>
      <c r="V74" s="19"/>
      <c r="W74" s="15"/>
      <c r="X74" s="19"/>
    </row>
    <row r="75" spans="1:24" s="73" customFormat="1" ht="30" customHeight="1" x14ac:dyDescent="0.3">
      <c r="A75" s="71">
        <f t="shared" si="0"/>
        <v>72</v>
      </c>
      <c r="B75" s="71">
        <v>0</v>
      </c>
      <c r="C75" s="71" t="s">
        <v>1267</v>
      </c>
      <c r="D75" s="71" t="s">
        <v>1268</v>
      </c>
      <c r="E75" s="72" t="s">
        <v>1050</v>
      </c>
      <c r="F75" s="71" t="s">
        <v>1269</v>
      </c>
      <c r="G75" s="71" t="s">
        <v>214</v>
      </c>
      <c r="H75" s="71" t="s">
        <v>171</v>
      </c>
      <c r="I75" s="71" t="s">
        <v>29</v>
      </c>
      <c r="J75" s="71" t="s">
        <v>31</v>
      </c>
      <c r="K75" s="75" t="s">
        <v>245</v>
      </c>
      <c r="L75" s="71" t="s">
        <v>1247</v>
      </c>
      <c r="M75" s="71" t="s">
        <v>1248</v>
      </c>
      <c r="N75" s="71"/>
      <c r="O75" s="71"/>
      <c r="P75" s="71"/>
      <c r="Q75" s="71"/>
      <c r="R75" s="71"/>
      <c r="S75" s="71"/>
      <c r="T75" s="71"/>
      <c r="U75" s="72"/>
      <c r="V75" s="72"/>
      <c r="W75" s="71"/>
      <c r="X75" s="72"/>
    </row>
    <row r="76" spans="1:24" s="2" customFormat="1" ht="30" customHeight="1" x14ac:dyDescent="0.3">
      <c r="A76" s="15">
        <f t="shared" si="0"/>
        <v>73</v>
      </c>
      <c r="B76" s="15" t="s">
        <v>172</v>
      </c>
      <c r="C76" s="15" t="s">
        <v>350</v>
      </c>
      <c r="D76" s="15" t="s">
        <v>196</v>
      </c>
      <c r="E76" s="19" t="s">
        <v>351</v>
      </c>
      <c r="F76" s="15" t="s">
        <v>196</v>
      </c>
      <c r="G76" s="15" t="s">
        <v>214</v>
      </c>
      <c r="H76" s="15" t="s">
        <v>171</v>
      </c>
      <c r="I76" s="15" t="s">
        <v>239</v>
      </c>
      <c r="J76" s="15" t="s">
        <v>31</v>
      </c>
      <c r="K76" s="70" t="s">
        <v>245</v>
      </c>
      <c r="L76" s="70" t="s">
        <v>245</v>
      </c>
      <c r="M76" s="15" t="s">
        <v>240</v>
      </c>
      <c r="N76" s="15"/>
      <c r="O76" s="15"/>
      <c r="P76" s="15"/>
      <c r="Q76" s="15"/>
      <c r="R76" s="15"/>
      <c r="S76" s="15"/>
      <c r="T76" s="15"/>
      <c r="U76" s="19"/>
      <c r="V76" s="19"/>
      <c r="W76" s="15"/>
      <c r="X76" s="19"/>
    </row>
    <row r="77" spans="1:24" s="2" customFormat="1" ht="30" customHeight="1" x14ac:dyDescent="0.3">
      <c r="A77" s="15">
        <f t="shared" ref="A77:A152" si="1">ROW()-3</f>
        <v>74</v>
      </c>
      <c r="B77" s="15" t="s">
        <v>172</v>
      </c>
      <c r="C77" s="15" t="s">
        <v>352</v>
      </c>
      <c r="D77" s="15" t="s">
        <v>196</v>
      </c>
      <c r="E77" s="19" t="s">
        <v>353</v>
      </c>
      <c r="F77" s="15" t="s">
        <v>196</v>
      </c>
      <c r="G77" s="15" t="s">
        <v>214</v>
      </c>
      <c r="H77" s="15" t="s">
        <v>171</v>
      </c>
      <c r="I77" s="15" t="s">
        <v>239</v>
      </c>
      <c r="J77" s="15" t="s">
        <v>31</v>
      </c>
      <c r="K77" s="70" t="s">
        <v>245</v>
      </c>
      <c r="L77" s="70" t="s">
        <v>245</v>
      </c>
      <c r="M77" s="15" t="s">
        <v>246</v>
      </c>
      <c r="N77" s="15"/>
      <c r="O77" s="15"/>
      <c r="P77" s="15"/>
      <c r="Q77" s="15"/>
      <c r="R77" s="15"/>
      <c r="S77" s="15"/>
      <c r="T77" s="15"/>
      <c r="U77" s="19"/>
      <c r="V77" s="19"/>
      <c r="W77" s="15"/>
      <c r="X77" s="19"/>
    </row>
    <row r="78" spans="1:24" s="3" customFormat="1" ht="30" customHeight="1" x14ac:dyDescent="0.3">
      <c r="A78" s="14">
        <f t="shared" si="1"/>
        <v>75</v>
      </c>
      <c r="B78" s="15" t="s">
        <v>172</v>
      </c>
      <c r="C78" s="15" t="s">
        <v>354</v>
      </c>
      <c r="D78" s="15" t="s">
        <v>355</v>
      </c>
      <c r="E78" s="19" t="s">
        <v>705</v>
      </c>
      <c r="F78" s="15" t="s">
        <v>196</v>
      </c>
      <c r="G78" s="15" t="s">
        <v>214</v>
      </c>
      <c r="H78" s="14" t="s">
        <v>171</v>
      </c>
      <c r="I78" s="14" t="s">
        <v>25</v>
      </c>
      <c r="J78" s="14" t="s">
        <v>30</v>
      </c>
      <c r="K78" s="14" t="s">
        <v>163</v>
      </c>
      <c r="L78" s="14" t="s">
        <v>163</v>
      </c>
      <c r="M78" s="14" t="s">
        <v>163</v>
      </c>
      <c r="N78" s="14"/>
      <c r="O78" s="14"/>
      <c r="P78" s="14"/>
      <c r="Q78" s="14"/>
      <c r="R78" s="14">
        <v>0</v>
      </c>
      <c r="S78" s="14">
        <v>100</v>
      </c>
      <c r="T78" s="14" t="s">
        <v>252</v>
      </c>
      <c r="U78" s="5"/>
      <c r="V78" s="5"/>
      <c r="W78" s="14"/>
      <c r="X78" s="5"/>
    </row>
    <row r="79" spans="1:24" s="2" customFormat="1" ht="30" customHeight="1" x14ac:dyDescent="0.3">
      <c r="A79" s="15">
        <f t="shared" si="1"/>
        <v>76</v>
      </c>
      <c r="B79" s="15" t="s">
        <v>172</v>
      </c>
      <c r="C79" s="15" t="s">
        <v>356</v>
      </c>
      <c r="D79" s="15" t="s">
        <v>357</v>
      </c>
      <c r="E79" s="19" t="s">
        <v>358</v>
      </c>
      <c r="F79" s="15" t="s">
        <v>197</v>
      </c>
      <c r="G79" s="15" t="s">
        <v>214</v>
      </c>
      <c r="H79" s="15" t="s">
        <v>171</v>
      </c>
      <c r="I79" s="15" t="s">
        <v>29</v>
      </c>
      <c r="J79" s="15" t="s">
        <v>31</v>
      </c>
      <c r="K79" s="70" t="s">
        <v>245</v>
      </c>
      <c r="L79" s="70" t="s">
        <v>245</v>
      </c>
      <c r="M79" s="15" t="s">
        <v>241</v>
      </c>
      <c r="N79" s="15"/>
      <c r="O79" s="15"/>
      <c r="P79" s="15"/>
      <c r="Q79" s="15"/>
      <c r="R79" s="15"/>
      <c r="S79" s="15"/>
      <c r="T79" s="15"/>
      <c r="U79" s="19"/>
      <c r="V79" s="19"/>
      <c r="W79" s="15"/>
      <c r="X79" s="19"/>
    </row>
    <row r="80" spans="1:24" s="2" customFormat="1" ht="30" customHeight="1" x14ac:dyDescent="0.3">
      <c r="A80" s="15">
        <f t="shared" si="1"/>
        <v>77</v>
      </c>
      <c r="B80" s="15" t="s">
        <v>172</v>
      </c>
      <c r="C80" s="15" t="s">
        <v>359</v>
      </c>
      <c r="D80" s="15" t="s">
        <v>360</v>
      </c>
      <c r="E80" s="19" t="s">
        <v>361</v>
      </c>
      <c r="F80" s="15" t="s">
        <v>197</v>
      </c>
      <c r="G80" s="15" t="s">
        <v>214</v>
      </c>
      <c r="H80" s="15" t="s">
        <v>171</v>
      </c>
      <c r="I80" s="15" t="s">
        <v>29</v>
      </c>
      <c r="J80" s="15" t="s">
        <v>31</v>
      </c>
      <c r="K80" s="70" t="s">
        <v>245</v>
      </c>
      <c r="L80" s="70" t="s">
        <v>245</v>
      </c>
      <c r="M80" s="15" t="s">
        <v>240</v>
      </c>
      <c r="N80" s="15"/>
      <c r="O80" s="15"/>
      <c r="P80" s="15"/>
      <c r="Q80" s="15"/>
      <c r="R80" s="15"/>
      <c r="S80" s="15"/>
      <c r="T80" s="15"/>
      <c r="U80" s="19"/>
      <c r="V80" s="19"/>
      <c r="W80" s="15"/>
      <c r="X80" s="19"/>
    </row>
    <row r="81" spans="1:24" s="2" customFormat="1" ht="30" customHeight="1" x14ac:dyDescent="0.3">
      <c r="A81" s="15">
        <f t="shared" si="1"/>
        <v>78</v>
      </c>
      <c r="B81" s="15" t="s">
        <v>172</v>
      </c>
      <c r="C81" s="15" t="s">
        <v>362</v>
      </c>
      <c r="D81" s="15" t="s">
        <v>363</v>
      </c>
      <c r="E81" s="19" t="s">
        <v>244</v>
      </c>
      <c r="F81" s="15" t="s">
        <v>197</v>
      </c>
      <c r="G81" s="15" t="s">
        <v>214</v>
      </c>
      <c r="H81" s="15" t="s">
        <v>171</v>
      </c>
      <c r="I81" s="15" t="s">
        <v>29</v>
      </c>
      <c r="J81" s="15" t="s">
        <v>31</v>
      </c>
      <c r="K81" s="70" t="s">
        <v>245</v>
      </c>
      <c r="L81" s="15" t="s">
        <v>242</v>
      </c>
      <c r="M81" s="15" t="s">
        <v>243</v>
      </c>
      <c r="N81" s="15"/>
      <c r="O81" s="15"/>
      <c r="P81" s="15"/>
      <c r="Q81" s="15"/>
      <c r="R81" s="15"/>
      <c r="S81" s="15"/>
      <c r="T81" s="15"/>
      <c r="U81" s="19"/>
      <c r="V81" s="19"/>
      <c r="W81" s="15"/>
      <c r="X81" s="19"/>
    </row>
    <row r="82" spans="1:24" s="73" customFormat="1" ht="30" customHeight="1" x14ac:dyDescent="0.3">
      <c r="A82" s="71">
        <f t="shared" si="1"/>
        <v>79</v>
      </c>
      <c r="B82" s="71">
        <v>0</v>
      </c>
      <c r="C82" s="71" t="s">
        <v>1270</v>
      </c>
      <c r="D82" s="71" t="s">
        <v>1271</v>
      </c>
      <c r="E82" s="72" t="s">
        <v>1050</v>
      </c>
      <c r="F82" s="71" t="s">
        <v>1272</v>
      </c>
      <c r="G82" s="71" t="s">
        <v>214</v>
      </c>
      <c r="H82" s="71" t="s">
        <v>171</v>
      </c>
      <c r="I82" s="71" t="s">
        <v>29</v>
      </c>
      <c r="J82" s="71" t="s">
        <v>31</v>
      </c>
      <c r="K82" s="75" t="s">
        <v>245</v>
      </c>
      <c r="L82" s="71" t="s">
        <v>1247</v>
      </c>
      <c r="M82" s="71" t="s">
        <v>1248</v>
      </c>
      <c r="N82" s="71"/>
      <c r="O82" s="71"/>
      <c r="P82" s="71"/>
      <c r="Q82" s="71"/>
      <c r="R82" s="71"/>
      <c r="S82" s="71"/>
      <c r="T82" s="71"/>
      <c r="U82" s="72"/>
      <c r="V82" s="72"/>
      <c r="W82" s="71"/>
      <c r="X82" s="72"/>
    </row>
    <row r="83" spans="1:24" s="2" customFormat="1" ht="30" customHeight="1" x14ac:dyDescent="0.3">
      <c r="A83" s="15">
        <f t="shared" si="1"/>
        <v>80</v>
      </c>
      <c r="B83" s="15" t="s">
        <v>172</v>
      </c>
      <c r="C83" s="15" t="s">
        <v>364</v>
      </c>
      <c r="D83" s="15" t="s">
        <v>197</v>
      </c>
      <c r="E83" s="19" t="s">
        <v>365</v>
      </c>
      <c r="F83" s="15" t="s">
        <v>197</v>
      </c>
      <c r="G83" s="15" t="s">
        <v>214</v>
      </c>
      <c r="H83" s="15" t="s">
        <v>171</v>
      </c>
      <c r="I83" s="15" t="s">
        <v>239</v>
      </c>
      <c r="J83" s="15" t="s">
        <v>31</v>
      </c>
      <c r="K83" s="70" t="s">
        <v>245</v>
      </c>
      <c r="L83" s="70" t="s">
        <v>245</v>
      </c>
      <c r="M83" s="15" t="s">
        <v>240</v>
      </c>
      <c r="N83" s="15"/>
      <c r="O83" s="15"/>
      <c r="P83" s="15"/>
      <c r="Q83" s="15"/>
      <c r="R83" s="15"/>
      <c r="S83" s="15"/>
      <c r="T83" s="15"/>
      <c r="U83" s="19"/>
      <c r="V83" s="19"/>
      <c r="W83" s="15"/>
      <c r="X83" s="19"/>
    </row>
    <row r="84" spans="1:24" s="2" customFormat="1" ht="30" customHeight="1" x14ac:dyDescent="0.3">
      <c r="A84" s="15">
        <f t="shared" si="1"/>
        <v>81</v>
      </c>
      <c r="B84" s="15" t="s">
        <v>172</v>
      </c>
      <c r="C84" s="15" t="s">
        <v>366</v>
      </c>
      <c r="D84" s="15" t="s">
        <v>197</v>
      </c>
      <c r="E84" s="19" t="s">
        <v>367</v>
      </c>
      <c r="F84" s="15" t="s">
        <v>197</v>
      </c>
      <c r="G84" s="15" t="s">
        <v>214</v>
      </c>
      <c r="H84" s="15" t="s">
        <v>171</v>
      </c>
      <c r="I84" s="15" t="s">
        <v>239</v>
      </c>
      <c r="J84" s="15" t="s">
        <v>31</v>
      </c>
      <c r="K84" s="70" t="s">
        <v>245</v>
      </c>
      <c r="L84" s="70" t="s">
        <v>245</v>
      </c>
      <c r="M84" s="15" t="s">
        <v>246</v>
      </c>
      <c r="N84" s="15"/>
      <c r="O84" s="15"/>
      <c r="P84" s="15"/>
      <c r="Q84" s="15"/>
      <c r="R84" s="15"/>
      <c r="S84" s="15"/>
      <c r="T84" s="15"/>
      <c r="U84" s="19"/>
      <c r="V84" s="19"/>
      <c r="W84" s="15"/>
      <c r="X84" s="19"/>
    </row>
    <row r="85" spans="1:24" s="2" customFormat="1" ht="30" customHeight="1" x14ac:dyDescent="0.3">
      <c r="A85" s="15">
        <f t="shared" si="1"/>
        <v>82</v>
      </c>
      <c r="B85" s="15" t="s">
        <v>172</v>
      </c>
      <c r="C85" s="15" t="s">
        <v>368</v>
      </c>
      <c r="D85" s="15" t="s">
        <v>369</v>
      </c>
      <c r="E85" s="19" t="s">
        <v>370</v>
      </c>
      <c r="F85" s="15" t="s">
        <v>198</v>
      </c>
      <c r="G85" s="15" t="s">
        <v>214</v>
      </c>
      <c r="H85" s="15" t="s">
        <v>171</v>
      </c>
      <c r="I85" s="15" t="s">
        <v>29</v>
      </c>
      <c r="J85" s="15" t="s">
        <v>31</v>
      </c>
      <c r="K85" s="70" t="s">
        <v>245</v>
      </c>
      <c r="L85" s="70" t="s">
        <v>245</v>
      </c>
      <c r="M85" s="15" t="s">
        <v>241</v>
      </c>
      <c r="N85" s="15"/>
      <c r="O85" s="15"/>
      <c r="P85" s="15"/>
      <c r="Q85" s="15"/>
      <c r="R85" s="15"/>
      <c r="S85" s="15"/>
      <c r="T85" s="15"/>
      <c r="U85" s="19"/>
      <c r="V85" s="19"/>
      <c r="W85" s="15"/>
      <c r="X85" s="19"/>
    </row>
    <row r="86" spans="1:24" s="2" customFormat="1" ht="30" customHeight="1" x14ac:dyDescent="0.3">
      <c r="A86" s="15">
        <f t="shared" si="1"/>
        <v>83</v>
      </c>
      <c r="B86" s="15" t="s">
        <v>172</v>
      </c>
      <c r="C86" s="15" t="s">
        <v>371</v>
      </c>
      <c r="D86" s="15" t="s">
        <v>372</v>
      </c>
      <c r="E86" s="19" t="s">
        <v>373</v>
      </c>
      <c r="F86" s="15" t="s">
        <v>198</v>
      </c>
      <c r="G86" s="15" t="s">
        <v>214</v>
      </c>
      <c r="H86" s="15" t="s">
        <v>171</v>
      </c>
      <c r="I86" s="15" t="s">
        <v>29</v>
      </c>
      <c r="J86" s="15" t="s">
        <v>31</v>
      </c>
      <c r="K86" s="70" t="s">
        <v>245</v>
      </c>
      <c r="L86" s="70" t="s">
        <v>245</v>
      </c>
      <c r="M86" s="15" t="s">
        <v>240</v>
      </c>
      <c r="N86" s="15"/>
      <c r="O86" s="15"/>
      <c r="P86" s="15"/>
      <c r="Q86" s="15"/>
      <c r="R86" s="15"/>
      <c r="S86" s="15"/>
      <c r="T86" s="15"/>
      <c r="U86" s="19"/>
      <c r="V86" s="19"/>
      <c r="W86" s="15"/>
      <c r="X86" s="19"/>
    </row>
    <row r="87" spans="1:24" s="2" customFormat="1" ht="30" customHeight="1" x14ac:dyDescent="0.3">
      <c r="A87" s="15">
        <f t="shared" si="1"/>
        <v>84</v>
      </c>
      <c r="B87" s="15" t="s">
        <v>172</v>
      </c>
      <c r="C87" s="15" t="s">
        <v>374</v>
      </c>
      <c r="D87" s="15" t="s">
        <v>375</v>
      </c>
      <c r="E87" s="19" t="s">
        <v>244</v>
      </c>
      <c r="F87" s="15" t="s">
        <v>198</v>
      </c>
      <c r="G87" s="15" t="s">
        <v>214</v>
      </c>
      <c r="H87" s="15" t="s">
        <v>171</v>
      </c>
      <c r="I87" s="15" t="s">
        <v>29</v>
      </c>
      <c r="J87" s="15" t="s">
        <v>31</v>
      </c>
      <c r="K87" s="70" t="s">
        <v>245</v>
      </c>
      <c r="L87" s="15" t="s">
        <v>242</v>
      </c>
      <c r="M87" s="15" t="s">
        <v>243</v>
      </c>
      <c r="N87" s="15"/>
      <c r="O87" s="15"/>
      <c r="P87" s="15"/>
      <c r="Q87" s="15"/>
      <c r="R87" s="15"/>
      <c r="S87" s="15"/>
      <c r="T87" s="15"/>
      <c r="U87" s="19"/>
      <c r="V87" s="19"/>
      <c r="W87" s="15"/>
      <c r="X87" s="19"/>
    </row>
    <row r="88" spans="1:24" s="73" customFormat="1" ht="30" customHeight="1" x14ac:dyDescent="0.3">
      <c r="A88" s="71">
        <f t="shared" si="1"/>
        <v>85</v>
      </c>
      <c r="B88" s="71">
        <v>0</v>
      </c>
      <c r="C88" s="71" t="s">
        <v>1273</v>
      </c>
      <c r="D88" s="71" t="s">
        <v>1274</v>
      </c>
      <c r="E88" s="72" t="s">
        <v>1050</v>
      </c>
      <c r="F88" s="71" t="s">
        <v>1275</v>
      </c>
      <c r="G88" s="71" t="s">
        <v>214</v>
      </c>
      <c r="H88" s="71" t="s">
        <v>171</v>
      </c>
      <c r="I88" s="71" t="s">
        <v>29</v>
      </c>
      <c r="J88" s="71" t="s">
        <v>31</v>
      </c>
      <c r="K88" s="75" t="s">
        <v>245</v>
      </c>
      <c r="L88" s="71" t="s">
        <v>1247</v>
      </c>
      <c r="M88" s="71" t="s">
        <v>1248</v>
      </c>
      <c r="N88" s="71"/>
      <c r="O88" s="71"/>
      <c r="P88" s="71"/>
      <c r="Q88" s="71"/>
      <c r="R88" s="71"/>
      <c r="S88" s="71"/>
      <c r="T88" s="71"/>
      <c r="U88" s="72"/>
      <c r="V88" s="72"/>
      <c r="W88" s="71"/>
      <c r="X88" s="72"/>
    </row>
    <row r="89" spans="1:24" s="2" customFormat="1" ht="30" customHeight="1" x14ac:dyDescent="0.3">
      <c r="A89" s="15">
        <f t="shared" si="1"/>
        <v>86</v>
      </c>
      <c r="B89" s="15" t="s">
        <v>172</v>
      </c>
      <c r="C89" s="15" t="s">
        <v>376</v>
      </c>
      <c r="D89" s="15" t="s">
        <v>198</v>
      </c>
      <c r="E89" s="19" t="s">
        <v>377</v>
      </c>
      <c r="F89" s="15" t="s">
        <v>198</v>
      </c>
      <c r="G89" s="15" t="s">
        <v>214</v>
      </c>
      <c r="H89" s="15" t="s">
        <v>171</v>
      </c>
      <c r="I89" s="15" t="s">
        <v>239</v>
      </c>
      <c r="J89" s="15" t="s">
        <v>31</v>
      </c>
      <c r="K89" s="70" t="s">
        <v>245</v>
      </c>
      <c r="L89" s="70" t="s">
        <v>245</v>
      </c>
      <c r="M89" s="15" t="s">
        <v>240</v>
      </c>
      <c r="N89" s="15"/>
      <c r="O89" s="15"/>
      <c r="P89" s="15"/>
      <c r="Q89" s="15"/>
      <c r="R89" s="15"/>
      <c r="S89" s="15"/>
      <c r="T89" s="15"/>
      <c r="U89" s="19"/>
      <c r="V89" s="19"/>
      <c r="W89" s="15"/>
      <c r="X89" s="19"/>
    </row>
    <row r="90" spans="1:24" s="2" customFormat="1" ht="30" customHeight="1" x14ac:dyDescent="0.3">
      <c r="A90" s="15">
        <f t="shared" si="1"/>
        <v>87</v>
      </c>
      <c r="B90" s="15" t="s">
        <v>172</v>
      </c>
      <c r="C90" s="15" t="s">
        <v>378</v>
      </c>
      <c r="D90" s="15" t="s">
        <v>198</v>
      </c>
      <c r="E90" s="19" t="s">
        <v>379</v>
      </c>
      <c r="F90" s="15" t="s">
        <v>198</v>
      </c>
      <c r="G90" s="15" t="s">
        <v>214</v>
      </c>
      <c r="H90" s="15" t="s">
        <v>171</v>
      </c>
      <c r="I90" s="15" t="s">
        <v>239</v>
      </c>
      <c r="J90" s="15" t="s">
        <v>31</v>
      </c>
      <c r="K90" s="70" t="s">
        <v>245</v>
      </c>
      <c r="L90" s="70" t="s">
        <v>245</v>
      </c>
      <c r="M90" s="15" t="s">
        <v>246</v>
      </c>
      <c r="N90" s="15"/>
      <c r="O90" s="15"/>
      <c r="P90" s="15"/>
      <c r="Q90" s="15"/>
      <c r="R90" s="15"/>
      <c r="S90" s="15"/>
      <c r="T90" s="15"/>
      <c r="U90" s="19"/>
      <c r="V90" s="19"/>
      <c r="W90" s="15"/>
      <c r="X90" s="19"/>
    </row>
    <row r="91" spans="1:24" s="2" customFormat="1" ht="30" customHeight="1" x14ac:dyDescent="0.3">
      <c r="A91" s="15">
        <f t="shared" si="1"/>
        <v>88</v>
      </c>
      <c r="B91" s="15" t="s">
        <v>172</v>
      </c>
      <c r="C91" s="15" t="s">
        <v>380</v>
      </c>
      <c r="D91" s="15" t="s">
        <v>381</v>
      </c>
      <c r="E91" s="19" t="s">
        <v>382</v>
      </c>
      <c r="F91" s="15" t="s">
        <v>199</v>
      </c>
      <c r="G91" s="15" t="s">
        <v>214</v>
      </c>
      <c r="H91" s="15" t="s">
        <v>171</v>
      </c>
      <c r="I91" s="15" t="s">
        <v>29</v>
      </c>
      <c r="J91" s="15" t="s">
        <v>31</v>
      </c>
      <c r="K91" s="70" t="s">
        <v>245</v>
      </c>
      <c r="L91" s="70" t="s">
        <v>245</v>
      </c>
      <c r="M91" s="15" t="s">
        <v>241</v>
      </c>
      <c r="N91" s="15"/>
      <c r="O91" s="15"/>
      <c r="P91" s="15"/>
      <c r="Q91" s="15"/>
      <c r="R91" s="15"/>
      <c r="S91" s="15"/>
      <c r="T91" s="15"/>
      <c r="U91" s="19"/>
      <c r="V91" s="19"/>
      <c r="W91" s="15"/>
      <c r="X91" s="19"/>
    </row>
    <row r="92" spans="1:24" s="2" customFormat="1" ht="30" customHeight="1" x14ac:dyDescent="0.3">
      <c r="A92" s="15">
        <f t="shared" si="1"/>
        <v>89</v>
      </c>
      <c r="B92" s="15" t="s">
        <v>172</v>
      </c>
      <c r="C92" s="15" t="s">
        <v>383</v>
      </c>
      <c r="D92" s="15" t="s">
        <v>384</v>
      </c>
      <c r="E92" s="19" t="s">
        <v>385</v>
      </c>
      <c r="F92" s="15" t="s">
        <v>199</v>
      </c>
      <c r="G92" s="15" t="s">
        <v>214</v>
      </c>
      <c r="H92" s="15" t="s">
        <v>171</v>
      </c>
      <c r="I92" s="15" t="s">
        <v>29</v>
      </c>
      <c r="J92" s="15" t="s">
        <v>31</v>
      </c>
      <c r="K92" s="70" t="s">
        <v>245</v>
      </c>
      <c r="L92" s="70" t="s">
        <v>245</v>
      </c>
      <c r="M92" s="15" t="s">
        <v>240</v>
      </c>
      <c r="N92" s="15"/>
      <c r="O92" s="15"/>
      <c r="P92" s="15"/>
      <c r="Q92" s="15"/>
      <c r="R92" s="15"/>
      <c r="S92" s="15"/>
      <c r="T92" s="15"/>
      <c r="U92" s="19"/>
      <c r="V92" s="19"/>
      <c r="W92" s="15"/>
      <c r="X92" s="19"/>
    </row>
    <row r="93" spans="1:24" s="2" customFormat="1" ht="30" customHeight="1" x14ac:dyDescent="0.3">
      <c r="A93" s="15">
        <f t="shared" si="1"/>
        <v>90</v>
      </c>
      <c r="B93" s="15" t="s">
        <v>172</v>
      </c>
      <c r="C93" s="15" t="s">
        <v>386</v>
      </c>
      <c r="D93" s="15" t="s">
        <v>387</v>
      </c>
      <c r="E93" s="19" t="s">
        <v>244</v>
      </c>
      <c r="F93" s="15" t="s">
        <v>199</v>
      </c>
      <c r="G93" s="15" t="s">
        <v>214</v>
      </c>
      <c r="H93" s="15" t="s">
        <v>171</v>
      </c>
      <c r="I93" s="15" t="s">
        <v>29</v>
      </c>
      <c r="J93" s="15" t="s">
        <v>31</v>
      </c>
      <c r="K93" s="70" t="s">
        <v>245</v>
      </c>
      <c r="L93" s="15" t="s">
        <v>242</v>
      </c>
      <c r="M93" s="15" t="s">
        <v>243</v>
      </c>
      <c r="N93" s="15"/>
      <c r="O93" s="15"/>
      <c r="P93" s="15"/>
      <c r="Q93" s="15"/>
      <c r="R93" s="15"/>
      <c r="S93" s="15"/>
      <c r="T93" s="15"/>
      <c r="U93" s="19"/>
      <c r="V93" s="19"/>
      <c r="W93" s="15"/>
      <c r="X93" s="19"/>
    </row>
    <row r="94" spans="1:24" s="73" customFormat="1" ht="30" customHeight="1" x14ac:dyDescent="0.3">
      <c r="A94" s="71">
        <f t="shared" si="1"/>
        <v>91</v>
      </c>
      <c r="B94" s="71">
        <v>0</v>
      </c>
      <c r="C94" s="71" t="s">
        <v>1277</v>
      </c>
      <c r="D94" s="71" t="s">
        <v>1276</v>
      </c>
      <c r="E94" s="72" t="s">
        <v>1050</v>
      </c>
      <c r="F94" s="71" t="s">
        <v>1278</v>
      </c>
      <c r="G94" s="71" t="s">
        <v>214</v>
      </c>
      <c r="H94" s="71" t="s">
        <v>171</v>
      </c>
      <c r="I94" s="71" t="s">
        <v>29</v>
      </c>
      <c r="J94" s="71" t="s">
        <v>31</v>
      </c>
      <c r="K94" s="75" t="s">
        <v>245</v>
      </c>
      <c r="L94" s="71" t="s">
        <v>1247</v>
      </c>
      <c r="M94" s="71" t="s">
        <v>1248</v>
      </c>
      <c r="N94" s="71"/>
      <c r="O94" s="71"/>
      <c r="P94" s="71"/>
      <c r="Q94" s="71"/>
      <c r="R94" s="71"/>
      <c r="S94" s="71"/>
      <c r="T94" s="71"/>
      <c r="U94" s="72"/>
      <c r="V94" s="72"/>
      <c r="W94" s="71"/>
      <c r="X94" s="72"/>
    </row>
    <row r="95" spans="1:24" s="2" customFormat="1" ht="30" customHeight="1" x14ac:dyDescent="0.3">
      <c r="A95" s="15">
        <f t="shared" si="1"/>
        <v>92</v>
      </c>
      <c r="B95" s="15" t="s">
        <v>172</v>
      </c>
      <c r="C95" s="15" t="s">
        <v>388</v>
      </c>
      <c r="D95" s="15" t="s">
        <v>199</v>
      </c>
      <c r="E95" s="19" t="s">
        <v>391</v>
      </c>
      <c r="F95" s="15" t="s">
        <v>199</v>
      </c>
      <c r="G95" s="15" t="s">
        <v>214</v>
      </c>
      <c r="H95" s="15" t="s">
        <v>171</v>
      </c>
      <c r="I95" s="15" t="s">
        <v>239</v>
      </c>
      <c r="J95" s="15" t="s">
        <v>31</v>
      </c>
      <c r="K95" s="70" t="s">
        <v>245</v>
      </c>
      <c r="L95" s="70" t="s">
        <v>245</v>
      </c>
      <c r="M95" s="15" t="s">
        <v>240</v>
      </c>
      <c r="N95" s="15"/>
      <c r="O95" s="15"/>
      <c r="P95" s="15"/>
      <c r="Q95" s="15"/>
      <c r="R95" s="15"/>
      <c r="S95" s="15"/>
      <c r="T95" s="15"/>
      <c r="U95" s="19"/>
      <c r="V95" s="19"/>
      <c r="W95" s="15"/>
      <c r="X95" s="19"/>
    </row>
    <row r="96" spans="1:24" s="2" customFormat="1" ht="30" customHeight="1" x14ac:dyDescent="0.3">
      <c r="A96" s="15">
        <f t="shared" si="1"/>
        <v>93</v>
      </c>
      <c r="B96" s="15" t="s">
        <v>172</v>
      </c>
      <c r="C96" s="15" t="s">
        <v>390</v>
      </c>
      <c r="D96" s="15" t="s">
        <v>199</v>
      </c>
      <c r="E96" s="19" t="s">
        <v>389</v>
      </c>
      <c r="F96" s="15" t="s">
        <v>199</v>
      </c>
      <c r="G96" s="15" t="s">
        <v>214</v>
      </c>
      <c r="H96" s="15" t="s">
        <v>171</v>
      </c>
      <c r="I96" s="15" t="s">
        <v>239</v>
      </c>
      <c r="J96" s="15" t="s">
        <v>31</v>
      </c>
      <c r="K96" s="70" t="s">
        <v>245</v>
      </c>
      <c r="L96" s="70" t="s">
        <v>245</v>
      </c>
      <c r="M96" s="15" t="s">
        <v>246</v>
      </c>
      <c r="N96" s="15"/>
      <c r="O96" s="15"/>
      <c r="P96" s="15"/>
      <c r="Q96" s="15"/>
      <c r="R96" s="15"/>
      <c r="S96" s="15"/>
      <c r="T96" s="15"/>
      <c r="U96" s="19"/>
      <c r="V96" s="19"/>
      <c r="W96" s="15"/>
      <c r="X96" s="19"/>
    </row>
    <row r="97" spans="1:24" s="3" customFormat="1" ht="30" customHeight="1" x14ac:dyDescent="0.3">
      <c r="A97" s="14">
        <f t="shared" si="1"/>
        <v>94</v>
      </c>
      <c r="B97" s="15" t="s">
        <v>172</v>
      </c>
      <c r="C97" s="15" t="s">
        <v>392</v>
      </c>
      <c r="D97" s="15" t="s">
        <v>393</v>
      </c>
      <c r="E97" s="19" t="s">
        <v>706</v>
      </c>
      <c r="F97" s="15" t="s">
        <v>199</v>
      </c>
      <c r="G97" s="15" t="s">
        <v>214</v>
      </c>
      <c r="H97" s="14" t="s">
        <v>171</v>
      </c>
      <c r="I97" s="14" t="s">
        <v>25</v>
      </c>
      <c r="J97" s="14" t="s">
        <v>30</v>
      </c>
      <c r="K97" s="14" t="s">
        <v>163</v>
      </c>
      <c r="L97" s="14" t="s">
        <v>163</v>
      </c>
      <c r="M97" s="14" t="s">
        <v>163</v>
      </c>
      <c r="N97" s="14"/>
      <c r="O97" s="14"/>
      <c r="P97" s="14"/>
      <c r="Q97" s="14"/>
      <c r="R97" s="14">
        <v>0</v>
      </c>
      <c r="S97" s="14">
        <v>100</v>
      </c>
      <c r="T97" s="14" t="s">
        <v>252</v>
      </c>
      <c r="U97" s="5"/>
      <c r="V97" s="5"/>
      <c r="W97" s="14"/>
      <c r="X97" s="5"/>
    </row>
    <row r="98" spans="1:24" s="2" customFormat="1" ht="30" customHeight="1" x14ac:dyDescent="0.3">
      <c r="A98" s="15">
        <f t="shared" si="1"/>
        <v>95</v>
      </c>
      <c r="B98" s="15" t="s">
        <v>172</v>
      </c>
      <c r="C98" s="15" t="s">
        <v>394</v>
      </c>
      <c r="D98" s="15" t="s">
        <v>395</v>
      </c>
      <c r="E98" s="19" t="s">
        <v>396</v>
      </c>
      <c r="F98" s="15" t="s">
        <v>200</v>
      </c>
      <c r="G98" s="15" t="s">
        <v>214</v>
      </c>
      <c r="H98" s="15" t="s">
        <v>171</v>
      </c>
      <c r="I98" s="15" t="s">
        <v>29</v>
      </c>
      <c r="J98" s="15" t="s">
        <v>31</v>
      </c>
      <c r="K98" s="70" t="s">
        <v>245</v>
      </c>
      <c r="L98" s="70" t="s">
        <v>245</v>
      </c>
      <c r="M98" s="15" t="s">
        <v>241</v>
      </c>
      <c r="N98" s="15"/>
      <c r="O98" s="15"/>
      <c r="P98" s="15"/>
      <c r="Q98" s="15"/>
      <c r="R98" s="15"/>
      <c r="S98" s="15"/>
      <c r="T98" s="15"/>
      <c r="U98" s="19"/>
      <c r="V98" s="19"/>
      <c r="W98" s="15"/>
      <c r="X98" s="19"/>
    </row>
    <row r="99" spans="1:24" s="2" customFormat="1" ht="30" customHeight="1" x14ac:dyDescent="0.3">
      <c r="A99" s="15">
        <f t="shared" si="1"/>
        <v>96</v>
      </c>
      <c r="B99" s="15" t="s">
        <v>172</v>
      </c>
      <c r="C99" s="15" t="s">
        <v>397</v>
      </c>
      <c r="D99" s="15" t="s">
        <v>398</v>
      </c>
      <c r="E99" s="19" t="s">
        <v>399</v>
      </c>
      <c r="F99" s="15" t="s">
        <v>200</v>
      </c>
      <c r="G99" s="15" t="s">
        <v>214</v>
      </c>
      <c r="H99" s="15" t="s">
        <v>171</v>
      </c>
      <c r="I99" s="15" t="s">
        <v>29</v>
      </c>
      <c r="J99" s="15" t="s">
        <v>31</v>
      </c>
      <c r="K99" s="70" t="s">
        <v>245</v>
      </c>
      <c r="L99" s="70" t="s">
        <v>245</v>
      </c>
      <c r="M99" s="15" t="s">
        <v>240</v>
      </c>
      <c r="N99" s="15"/>
      <c r="O99" s="15"/>
      <c r="P99" s="15"/>
      <c r="Q99" s="15"/>
      <c r="R99" s="15"/>
      <c r="S99" s="15"/>
      <c r="T99" s="15"/>
      <c r="U99" s="19"/>
      <c r="V99" s="19"/>
      <c r="W99" s="15"/>
      <c r="X99" s="19"/>
    </row>
    <row r="100" spans="1:24" s="2" customFormat="1" ht="30" customHeight="1" x14ac:dyDescent="0.3">
      <c r="A100" s="15">
        <f t="shared" si="1"/>
        <v>97</v>
      </c>
      <c r="B100" s="15" t="s">
        <v>172</v>
      </c>
      <c r="C100" s="15" t="s">
        <v>400</v>
      </c>
      <c r="D100" s="15" t="s">
        <v>401</v>
      </c>
      <c r="E100" s="19" t="s">
        <v>244</v>
      </c>
      <c r="F100" s="15" t="s">
        <v>200</v>
      </c>
      <c r="G100" s="15" t="s">
        <v>214</v>
      </c>
      <c r="H100" s="15" t="s">
        <v>171</v>
      </c>
      <c r="I100" s="15" t="s">
        <v>29</v>
      </c>
      <c r="J100" s="15" t="s">
        <v>31</v>
      </c>
      <c r="K100" s="70" t="s">
        <v>245</v>
      </c>
      <c r="L100" s="15" t="s">
        <v>242</v>
      </c>
      <c r="M100" s="15" t="s">
        <v>243</v>
      </c>
      <c r="N100" s="15"/>
      <c r="O100" s="15"/>
      <c r="P100" s="15"/>
      <c r="Q100" s="15"/>
      <c r="R100" s="15"/>
      <c r="S100" s="15"/>
      <c r="T100" s="15"/>
      <c r="U100" s="19"/>
      <c r="V100" s="19"/>
      <c r="W100" s="15"/>
      <c r="X100" s="19"/>
    </row>
    <row r="101" spans="1:24" s="73" customFormat="1" ht="30" customHeight="1" x14ac:dyDescent="0.3">
      <c r="A101" s="71">
        <f t="shared" si="1"/>
        <v>98</v>
      </c>
      <c r="B101" s="71">
        <v>0</v>
      </c>
      <c r="C101" s="71" t="s">
        <v>1279</v>
      </c>
      <c r="D101" s="71" t="s">
        <v>1283</v>
      </c>
      <c r="E101" s="72" t="s">
        <v>1050</v>
      </c>
      <c r="F101" s="71" t="s">
        <v>1280</v>
      </c>
      <c r="G101" s="71" t="s">
        <v>214</v>
      </c>
      <c r="H101" s="71" t="s">
        <v>171</v>
      </c>
      <c r="I101" s="71" t="s">
        <v>29</v>
      </c>
      <c r="J101" s="71" t="s">
        <v>31</v>
      </c>
      <c r="K101" s="75" t="s">
        <v>245</v>
      </c>
      <c r="L101" s="71" t="s">
        <v>1247</v>
      </c>
      <c r="M101" s="71" t="s">
        <v>1248</v>
      </c>
      <c r="N101" s="71"/>
      <c r="O101" s="71"/>
      <c r="P101" s="71"/>
      <c r="Q101" s="71"/>
      <c r="R101" s="71"/>
      <c r="S101" s="71"/>
      <c r="T101" s="71"/>
      <c r="U101" s="72"/>
      <c r="V101" s="72"/>
      <c r="W101" s="71"/>
      <c r="X101" s="72"/>
    </row>
    <row r="102" spans="1:24" s="2" customFormat="1" ht="30" customHeight="1" x14ac:dyDescent="0.3">
      <c r="A102" s="15">
        <f t="shared" si="1"/>
        <v>99</v>
      </c>
      <c r="B102" s="15" t="s">
        <v>172</v>
      </c>
      <c r="C102" s="15" t="s">
        <v>402</v>
      </c>
      <c r="D102" s="15" t="s">
        <v>200</v>
      </c>
      <c r="E102" s="19" t="s">
        <v>405</v>
      </c>
      <c r="F102" s="15" t="s">
        <v>200</v>
      </c>
      <c r="G102" s="15" t="s">
        <v>214</v>
      </c>
      <c r="H102" s="15" t="s">
        <v>171</v>
      </c>
      <c r="I102" s="15" t="s">
        <v>239</v>
      </c>
      <c r="J102" s="15" t="s">
        <v>31</v>
      </c>
      <c r="K102" s="70" t="s">
        <v>245</v>
      </c>
      <c r="L102" s="70" t="s">
        <v>245</v>
      </c>
      <c r="M102" s="15" t="s">
        <v>240</v>
      </c>
      <c r="N102" s="15"/>
      <c r="O102" s="15"/>
      <c r="P102" s="15"/>
      <c r="Q102" s="15"/>
      <c r="R102" s="15"/>
      <c r="S102" s="15"/>
      <c r="T102" s="15"/>
      <c r="U102" s="19"/>
      <c r="V102" s="19"/>
      <c r="W102" s="15"/>
      <c r="X102" s="19"/>
    </row>
    <row r="103" spans="1:24" s="2" customFormat="1" ht="30" customHeight="1" x14ac:dyDescent="0.3">
      <c r="A103" s="15">
        <f t="shared" si="1"/>
        <v>100</v>
      </c>
      <c r="B103" s="15" t="s">
        <v>172</v>
      </c>
      <c r="C103" s="15" t="s">
        <v>404</v>
      </c>
      <c r="D103" s="15" t="s">
        <v>200</v>
      </c>
      <c r="E103" s="19" t="s">
        <v>403</v>
      </c>
      <c r="F103" s="15" t="s">
        <v>200</v>
      </c>
      <c r="G103" s="15" t="s">
        <v>214</v>
      </c>
      <c r="H103" s="15" t="s">
        <v>171</v>
      </c>
      <c r="I103" s="15" t="s">
        <v>239</v>
      </c>
      <c r="J103" s="15" t="s">
        <v>31</v>
      </c>
      <c r="K103" s="70" t="s">
        <v>245</v>
      </c>
      <c r="L103" s="70" t="s">
        <v>245</v>
      </c>
      <c r="M103" s="15" t="s">
        <v>246</v>
      </c>
      <c r="N103" s="15"/>
      <c r="O103" s="15"/>
      <c r="P103" s="15"/>
      <c r="Q103" s="15"/>
      <c r="R103" s="15"/>
      <c r="S103" s="15"/>
      <c r="T103" s="15"/>
      <c r="U103" s="19"/>
      <c r="V103" s="19"/>
      <c r="W103" s="15"/>
      <c r="X103" s="19"/>
    </row>
    <row r="104" spans="1:24" s="2" customFormat="1" ht="30" customHeight="1" x14ac:dyDescent="0.3">
      <c r="A104" s="15">
        <f t="shared" si="1"/>
        <v>101</v>
      </c>
      <c r="B104" s="15" t="s">
        <v>172</v>
      </c>
      <c r="C104" s="15" t="s">
        <v>406</v>
      </c>
      <c r="D104" s="15" t="s">
        <v>407</v>
      </c>
      <c r="E104" s="19" t="s">
        <v>408</v>
      </c>
      <c r="F104" s="15" t="s">
        <v>201</v>
      </c>
      <c r="G104" s="15" t="s">
        <v>219</v>
      </c>
      <c r="H104" s="15" t="s">
        <v>171</v>
      </c>
      <c r="I104" s="15" t="s">
        <v>29</v>
      </c>
      <c r="J104" s="15" t="s">
        <v>31</v>
      </c>
      <c r="K104" s="70" t="s">
        <v>245</v>
      </c>
      <c r="L104" s="70" t="s">
        <v>245</v>
      </c>
      <c r="M104" s="15" t="s">
        <v>241</v>
      </c>
      <c r="N104" s="15"/>
      <c r="O104" s="15"/>
      <c r="P104" s="15"/>
      <c r="Q104" s="15"/>
      <c r="R104" s="15"/>
      <c r="S104" s="15"/>
      <c r="T104" s="15"/>
      <c r="U104" s="19"/>
      <c r="V104" s="19"/>
      <c r="W104" s="15"/>
      <c r="X104" s="19"/>
    </row>
    <row r="105" spans="1:24" s="2" customFormat="1" ht="30" customHeight="1" x14ac:dyDescent="0.3">
      <c r="A105" s="15">
        <f t="shared" si="1"/>
        <v>102</v>
      </c>
      <c r="B105" s="15" t="s">
        <v>172</v>
      </c>
      <c r="C105" s="15" t="s">
        <v>409</v>
      </c>
      <c r="D105" s="15" t="s">
        <v>410</v>
      </c>
      <c r="E105" s="19" t="s">
        <v>411</v>
      </c>
      <c r="F105" s="15" t="s">
        <v>201</v>
      </c>
      <c r="G105" s="15" t="s">
        <v>219</v>
      </c>
      <c r="H105" s="15" t="s">
        <v>171</v>
      </c>
      <c r="I105" s="15" t="s">
        <v>29</v>
      </c>
      <c r="J105" s="15" t="s">
        <v>31</v>
      </c>
      <c r="K105" s="70" t="s">
        <v>245</v>
      </c>
      <c r="L105" s="70" t="s">
        <v>245</v>
      </c>
      <c r="M105" s="15" t="s">
        <v>240</v>
      </c>
      <c r="N105" s="15"/>
      <c r="O105" s="15"/>
      <c r="P105" s="15"/>
      <c r="Q105" s="15"/>
      <c r="R105" s="15"/>
      <c r="S105" s="15"/>
      <c r="T105" s="15"/>
      <c r="U105" s="19"/>
      <c r="V105" s="19"/>
      <c r="W105" s="15"/>
      <c r="X105" s="19"/>
    </row>
    <row r="106" spans="1:24" s="2" customFormat="1" ht="30" customHeight="1" x14ac:dyDescent="0.3">
      <c r="A106" s="15">
        <f t="shared" si="1"/>
        <v>103</v>
      </c>
      <c r="B106" s="15" t="s">
        <v>172</v>
      </c>
      <c r="C106" s="15" t="s">
        <v>412</v>
      </c>
      <c r="D106" s="15" t="s">
        <v>413</v>
      </c>
      <c r="E106" s="19" t="s">
        <v>244</v>
      </c>
      <c r="F106" s="15" t="s">
        <v>201</v>
      </c>
      <c r="G106" s="15" t="s">
        <v>219</v>
      </c>
      <c r="H106" s="15" t="s">
        <v>171</v>
      </c>
      <c r="I106" s="15" t="s">
        <v>29</v>
      </c>
      <c r="J106" s="15" t="s">
        <v>31</v>
      </c>
      <c r="K106" s="70" t="s">
        <v>245</v>
      </c>
      <c r="L106" s="15" t="s">
        <v>242</v>
      </c>
      <c r="M106" s="15" t="s">
        <v>243</v>
      </c>
      <c r="N106" s="15"/>
      <c r="O106" s="15"/>
      <c r="P106" s="15"/>
      <c r="Q106" s="15"/>
      <c r="R106" s="15"/>
      <c r="S106" s="15"/>
      <c r="T106" s="15"/>
      <c r="U106" s="19"/>
      <c r="V106" s="19"/>
      <c r="W106" s="15"/>
      <c r="X106" s="19"/>
    </row>
    <row r="107" spans="1:24" s="73" customFormat="1" ht="30" customHeight="1" x14ac:dyDescent="0.3">
      <c r="A107" s="71">
        <f t="shared" si="1"/>
        <v>104</v>
      </c>
      <c r="B107" s="71">
        <v>0</v>
      </c>
      <c r="C107" s="71" t="s">
        <v>1281</v>
      </c>
      <c r="D107" s="71" t="s">
        <v>1282</v>
      </c>
      <c r="E107" s="72" t="s">
        <v>1050</v>
      </c>
      <c r="F107" s="71" t="s">
        <v>1284</v>
      </c>
      <c r="G107" s="71" t="s">
        <v>1285</v>
      </c>
      <c r="H107" s="71" t="s">
        <v>171</v>
      </c>
      <c r="I107" s="71" t="s">
        <v>29</v>
      </c>
      <c r="J107" s="71" t="s">
        <v>31</v>
      </c>
      <c r="K107" s="75" t="s">
        <v>245</v>
      </c>
      <c r="L107" s="71" t="s">
        <v>1247</v>
      </c>
      <c r="M107" s="71" t="s">
        <v>1248</v>
      </c>
      <c r="N107" s="71"/>
      <c r="O107" s="71"/>
      <c r="P107" s="71"/>
      <c r="Q107" s="71"/>
      <c r="R107" s="71"/>
      <c r="S107" s="71"/>
      <c r="T107" s="71"/>
      <c r="U107" s="72"/>
      <c r="V107" s="72"/>
      <c r="W107" s="71"/>
      <c r="X107" s="72"/>
    </row>
    <row r="108" spans="1:24" s="2" customFormat="1" ht="30" customHeight="1" x14ac:dyDescent="0.3">
      <c r="A108" s="15">
        <f t="shared" si="1"/>
        <v>105</v>
      </c>
      <c r="B108" s="15" t="s">
        <v>172</v>
      </c>
      <c r="C108" s="15" t="s">
        <v>414</v>
      </c>
      <c r="D108" s="15" t="s">
        <v>201</v>
      </c>
      <c r="E108" s="19" t="s">
        <v>417</v>
      </c>
      <c r="F108" s="15" t="s">
        <v>201</v>
      </c>
      <c r="G108" s="15" t="s">
        <v>219</v>
      </c>
      <c r="H108" s="15" t="s">
        <v>171</v>
      </c>
      <c r="I108" s="15" t="s">
        <v>239</v>
      </c>
      <c r="J108" s="15" t="s">
        <v>31</v>
      </c>
      <c r="K108" s="70" t="s">
        <v>245</v>
      </c>
      <c r="L108" s="70" t="s">
        <v>245</v>
      </c>
      <c r="M108" s="15" t="s">
        <v>240</v>
      </c>
      <c r="N108" s="15"/>
      <c r="O108" s="15"/>
      <c r="P108" s="15"/>
      <c r="Q108" s="15"/>
      <c r="R108" s="15"/>
      <c r="S108" s="15"/>
      <c r="T108" s="15"/>
      <c r="U108" s="19"/>
      <c r="V108" s="19"/>
      <c r="W108" s="15"/>
      <c r="X108" s="19"/>
    </row>
    <row r="109" spans="1:24" s="2" customFormat="1" ht="30" customHeight="1" x14ac:dyDescent="0.3">
      <c r="A109" s="15">
        <f t="shared" si="1"/>
        <v>106</v>
      </c>
      <c r="B109" s="15" t="s">
        <v>172</v>
      </c>
      <c r="C109" s="15" t="s">
        <v>416</v>
      </c>
      <c r="D109" s="15" t="s">
        <v>201</v>
      </c>
      <c r="E109" s="19" t="s">
        <v>415</v>
      </c>
      <c r="F109" s="15" t="s">
        <v>201</v>
      </c>
      <c r="G109" s="15" t="s">
        <v>219</v>
      </c>
      <c r="H109" s="15" t="s">
        <v>171</v>
      </c>
      <c r="I109" s="15" t="s">
        <v>239</v>
      </c>
      <c r="J109" s="15" t="s">
        <v>31</v>
      </c>
      <c r="K109" s="70" t="s">
        <v>245</v>
      </c>
      <c r="L109" s="70" t="s">
        <v>245</v>
      </c>
      <c r="M109" s="15" t="s">
        <v>246</v>
      </c>
      <c r="N109" s="15"/>
      <c r="O109" s="15"/>
      <c r="P109" s="15"/>
      <c r="Q109" s="15"/>
      <c r="R109" s="15"/>
      <c r="S109" s="15"/>
      <c r="T109" s="15"/>
      <c r="U109" s="19"/>
      <c r="V109" s="19"/>
      <c r="W109" s="15"/>
      <c r="X109" s="19"/>
    </row>
    <row r="110" spans="1:24" s="2" customFormat="1" ht="30" customHeight="1" x14ac:dyDescent="0.3">
      <c r="A110" s="15">
        <f t="shared" si="1"/>
        <v>107</v>
      </c>
      <c r="B110" s="15" t="s">
        <v>172</v>
      </c>
      <c r="C110" s="15" t="s">
        <v>418</v>
      </c>
      <c r="D110" s="15" t="s">
        <v>419</v>
      </c>
      <c r="E110" s="19" t="s">
        <v>420</v>
      </c>
      <c r="F110" s="15" t="s">
        <v>202</v>
      </c>
      <c r="G110" s="15" t="s">
        <v>219</v>
      </c>
      <c r="H110" s="15" t="s">
        <v>171</v>
      </c>
      <c r="I110" s="15" t="s">
        <v>29</v>
      </c>
      <c r="J110" s="15" t="s">
        <v>31</v>
      </c>
      <c r="K110" s="70" t="s">
        <v>245</v>
      </c>
      <c r="L110" s="70" t="s">
        <v>245</v>
      </c>
      <c r="M110" s="15" t="s">
        <v>241</v>
      </c>
      <c r="N110" s="15"/>
      <c r="O110" s="15"/>
      <c r="P110" s="15"/>
      <c r="Q110" s="15"/>
      <c r="R110" s="15"/>
      <c r="S110" s="15"/>
      <c r="T110" s="15"/>
      <c r="U110" s="19"/>
      <c r="V110" s="19"/>
      <c r="W110" s="15"/>
      <c r="X110" s="19"/>
    </row>
    <row r="111" spans="1:24" s="2" customFormat="1" ht="30" customHeight="1" x14ac:dyDescent="0.3">
      <c r="A111" s="15">
        <f t="shared" si="1"/>
        <v>108</v>
      </c>
      <c r="B111" s="15" t="s">
        <v>172</v>
      </c>
      <c r="C111" s="15" t="s">
        <v>421</v>
      </c>
      <c r="D111" s="15" t="s">
        <v>422</v>
      </c>
      <c r="E111" s="19" t="s">
        <v>423</v>
      </c>
      <c r="F111" s="15" t="s">
        <v>202</v>
      </c>
      <c r="G111" s="15" t="s">
        <v>219</v>
      </c>
      <c r="H111" s="15" t="s">
        <v>171</v>
      </c>
      <c r="I111" s="15" t="s">
        <v>29</v>
      </c>
      <c r="J111" s="15" t="s">
        <v>31</v>
      </c>
      <c r="K111" s="70" t="s">
        <v>245</v>
      </c>
      <c r="L111" s="70" t="s">
        <v>245</v>
      </c>
      <c r="M111" s="15" t="s">
        <v>240</v>
      </c>
      <c r="N111" s="15"/>
      <c r="O111" s="15"/>
      <c r="P111" s="15"/>
      <c r="Q111" s="15"/>
      <c r="R111" s="15"/>
      <c r="S111" s="15"/>
      <c r="T111" s="15"/>
      <c r="U111" s="19"/>
      <c r="V111" s="19"/>
      <c r="W111" s="15"/>
      <c r="X111" s="19"/>
    </row>
    <row r="112" spans="1:24" s="2" customFormat="1" ht="30" customHeight="1" x14ac:dyDescent="0.3">
      <c r="A112" s="15">
        <f t="shared" si="1"/>
        <v>109</v>
      </c>
      <c r="B112" s="15" t="s">
        <v>172</v>
      </c>
      <c r="C112" s="15" t="s">
        <v>424</v>
      </c>
      <c r="D112" s="15" t="s">
        <v>425</v>
      </c>
      <c r="E112" s="19" t="s">
        <v>244</v>
      </c>
      <c r="F112" s="15" t="s">
        <v>202</v>
      </c>
      <c r="G112" s="15" t="s">
        <v>219</v>
      </c>
      <c r="H112" s="15" t="s">
        <v>171</v>
      </c>
      <c r="I112" s="15" t="s">
        <v>29</v>
      </c>
      <c r="J112" s="15" t="s">
        <v>31</v>
      </c>
      <c r="K112" s="70" t="s">
        <v>245</v>
      </c>
      <c r="L112" s="15" t="s">
        <v>242</v>
      </c>
      <c r="M112" s="15" t="s">
        <v>243</v>
      </c>
      <c r="N112" s="15"/>
      <c r="O112" s="15"/>
      <c r="P112" s="15"/>
      <c r="Q112" s="15"/>
      <c r="R112" s="15"/>
      <c r="S112" s="15"/>
      <c r="T112" s="15"/>
      <c r="U112" s="19"/>
      <c r="V112" s="19"/>
      <c r="W112" s="15"/>
      <c r="X112" s="19"/>
    </row>
    <row r="113" spans="1:24" s="73" customFormat="1" ht="30" customHeight="1" x14ac:dyDescent="0.3">
      <c r="A113" s="71">
        <f t="shared" si="1"/>
        <v>110</v>
      </c>
      <c r="B113" s="71">
        <v>0</v>
      </c>
      <c r="C113" s="71" t="s">
        <v>1286</v>
      </c>
      <c r="D113" s="71" t="s">
        <v>1287</v>
      </c>
      <c r="E113" s="72" t="s">
        <v>1050</v>
      </c>
      <c r="F113" s="71" t="s">
        <v>1288</v>
      </c>
      <c r="G113" s="71" t="s">
        <v>1285</v>
      </c>
      <c r="H113" s="71" t="s">
        <v>171</v>
      </c>
      <c r="I113" s="71" t="s">
        <v>29</v>
      </c>
      <c r="J113" s="71" t="s">
        <v>31</v>
      </c>
      <c r="K113" s="75" t="s">
        <v>245</v>
      </c>
      <c r="L113" s="71" t="s">
        <v>1247</v>
      </c>
      <c r="M113" s="71" t="s">
        <v>1248</v>
      </c>
      <c r="N113" s="71"/>
      <c r="O113" s="71"/>
      <c r="P113" s="71"/>
      <c r="Q113" s="71"/>
      <c r="R113" s="71"/>
      <c r="S113" s="71"/>
      <c r="T113" s="71"/>
      <c r="U113" s="72"/>
      <c r="V113" s="72"/>
      <c r="W113" s="71"/>
      <c r="X113" s="72"/>
    </row>
    <row r="114" spans="1:24" s="2" customFormat="1" ht="30" customHeight="1" x14ac:dyDescent="0.3">
      <c r="A114" s="15">
        <f t="shared" si="1"/>
        <v>111</v>
      </c>
      <c r="B114" s="15" t="s">
        <v>172</v>
      </c>
      <c r="C114" s="15" t="s">
        <v>426</v>
      </c>
      <c r="D114" s="15" t="s">
        <v>202</v>
      </c>
      <c r="E114" s="19" t="s">
        <v>429</v>
      </c>
      <c r="F114" s="15" t="s">
        <v>202</v>
      </c>
      <c r="G114" s="15" t="s">
        <v>219</v>
      </c>
      <c r="H114" s="15" t="s">
        <v>171</v>
      </c>
      <c r="I114" s="15" t="s">
        <v>239</v>
      </c>
      <c r="J114" s="15" t="s">
        <v>31</v>
      </c>
      <c r="K114" s="70" t="s">
        <v>245</v>
      </c>
      <c r="L114" s="70" t="s">
        <v>245</v>
      </c>
      <c r="M114" s="15" t="s">
        <v>240</v>
      </c>
      <c r="N114" s="15"/>
      <c r="O114" s="15"/>
      <c r="P114" s="15"/>
      <c r="Q114" s="15"/>
      <c r="R114" s="15"/>
      <c r="S114" s="15"/>
      <c r="T114" s="15"/>
      <c r="U114" s="19"/>
      <c r="V114" s="19"/>
      <c r="W114" s="15"/>
      <c r="X114" s="19"/>
    </row>
    <row r="115" spans="1:24" s="2" customFormat="1" ht="30" customHeight="1" x14ac:dyDescent="0.3">
      <c r="A115" s="15">
        <f t="shared" si="1"/>
        <v>112</v>
      </c>
      <c r="B115" s="15" t="s">
        <v>172</v>
      </c>
      <c r="C115" s="15" t="s">
        <v>428</v>
      </c>
      <c r="D115" s="15" t="s">
        <v>202</v>
      </c>
      <c r="E115" s="19" t="s">
        <v>427</v>
      </c>
      <c r="F115" s="15" t="s">
        <v>202</v>
      </c>
      <c r="G115" s="15" t="s">
        <v>219</v>
      </c>
      <c r="H115" s="15" t="s">
        <v>171</v>
      </c>
      <c r="I115" s="15" t="s">
        <v>239</v>
      </c>
      <c r="J115" s="15" t="s">
        <v>31</v>
      </c>
      <c r="K115" s="70" t="s">
        <v>245</v>
      </c>
      <c r="L115" s="70" t="s">
        <v>245</v>
      </c>
      <c r="M115" s="15" t="s">
        <v>246</v>
      </c>
      <c r="N115" s="15"/>
      <c r="O115" s="15"/>
      <c r="P115" s="15"/>
      <c r="Q115" s="15"/>
      <c r="R115" s="15"/>
      <c r="S115" s="15"/>
      <c r="T115" s="15"/>
      <c r="U115" s="19"/>
      <c r="V115" s="19"/>
      <c r="W115" s="15"/>
      <c r="X115" s="19"/>
    </row>
    <row r="116" spans="1:24" s="3" customFormat="1" ht="30" customHeight="1" x14ac:dyDescent="0.3">
      <c r="A116" s="14">
        <f t="shared" si="1"/>
        <v>113</v>
      </c>
      <c r="B116" s="15" t="s">
        <v>172</v>
      </c>
      <c r="C116" s="15" t="s">
        <v>430</v>
      </c>
      <c r="D116" s="15" t="s">
        <v>431</v>
      </c>
      <c r="E116" s="19" t="s">
        <v>707</v>
      </c>
      <c r="F116" s="15" t="s">
        <v>202</v>
      </c>
      <c r="G116" s="15" t="s">
        <v>219</v>
      </c>
      <c r="H116" s="14" t="s">
        <v>171</v>
      </c>
      <c r="I116" s="14" t="s">
        <v>25</v>
      </c>
      <c r="J116" s="14" t="s">
        <v>30</v>
      </c>
      <c r="K116" s="14" t="s">
        <v>163</v>
      </c>
      <c r="L116" s="14" t="s">
        <v>163</v>
      </c>
      <c r="M116" s="14" t="s">
        <v>163</v>
      </c>
      <c r="N116" s="14"/>
      <c r="O116" s="14"/>
      <c r="P116" s="14"/>
      <c r="Q116" s="14"/>
      <c r="R116" s="14">
        <v>0</v>
      </c>
      <c r="S116" s="14">
        <v>100</v>
      </c>
      <c r="T116" s="14" t="s">
        <v>252</v>
      </c>
      <c r="U116" s="5"/>
      <c r="V116" s="5"/>
      <c r="W116" s="14"/>
      <c r="X116" s="5"/>
    </row>
    <row r="117" spans="1:24" s="2" customFormat="1" ht="30" customHeight="1" x14ac:dyDescent="0.3">
      <c r="A117" s="15">
        <f t="shared" si="1"/>
        <v>114</v>
      </c>
      <c r="B117" s="15" t="s">
        <v>172</v>
      </c>
      <c r="C117" s="15" t="s">
        <v>432</v>
      </c>
      <c r="D117" s="15" t="s">
        <v>433</v>
      </c>
      <c r="E117" s="19" t="s">
        <v>737</v>
      </c>
      <c r="F117" s="15" t="s">
        <v>203</v>
      </c>
      <c r="G117" s="15" t="s">
        <v>219</v>
      </c>
      <c r="H117" s="15" t="s">
        <v>171</v>
      </c>
      <c r="I117" s="15" t="s">
        <v>29</v>
      </c>
      <c r="J117" s="15" t="s">
        <v>31</v>
      </c>
      <c r="K117" s="70" t="s">
        <v>245</v>
      </c>
      <c r="L117" s="70" t="s">
        <v>245</v>
      </c>
      <c r="M117" s="15" t="s">
        <v>241</v>
      </c>
      <c r="N117" s="15"/>
      <c r="O117" s="15"/>
      <c r="P117" s="15"/>
      <c r="Q117" s="15"/>
      <c r="R117" s="15"/>
      <c r="S117" s="15"/>
      <c r="T117" s="15"/>
      <c r="U117" s="19"/>
      <c r="V117" s="19"/>
      <c r="W117" s="15"/>
      <c r="X117" s="19"/>
    </row>
    <row r="118" spans="1:24" s="2" customFormat="1" ht="30" customHeight="1" x14ac:dyDescent="0.3">
      <c r="A118" s="15">
        <f t="shared" si="1"/>
        <v>115</v>
      </c>
      <c r="B118" s="15" t="s">
        <v>172</v>
      </c>
      <c r="C118" s="15" t="s">
        <v>434</v>
      </c>
      <c r="D118" s="15" t="s">
        <v>435</v>
      </c>
      <c r="E118" s="19" t="s">
        <v>738</v>
      </c>
      <c r="F118" s="15" t="s">
        <v>203</v>
      </c>
      <c r="G118" s="15" t="s">
        <v>219</v>
      </c>
      <c r="H118" s="15" t="s">
        <v>171</v>
      </c>
      <c r="I118" s="15" t="s">
        <v>29</v>
      </c>
      <c r="J118" s="15" t="s">
        <v>31</v>
      </c>
      <c r="K118" s="70" t="s">
        <v>245</v>
      </c>
      <c r="L118" s="70" t="s">
        <v>245</v>
      </c>
      <c r="M118" s="15" t="s">
        <v>240</v>
      </c>
      <c r="N118" s="15"/>
      <c r="O118" s="15"/>
      <c r="P118" s="15"/>
      <c r="Q118" s="15"/>
      <c r="R118" s="15"/>
      <c r="S118" s="15"/>
      <c r="T118" s="15"/>
      <c r="U118" s="19"/>
      <c r="V118" s="19"/>
      <c r="W118" s="15"/>
      <c r="X118" s="19"/>
    </row>
    <row r="119" spans="1:24" s="2" customFormat="1" ht="30" customHeight="1" x14ac:dyDescent="0.3">
      <c r="A119" s="15">
        <f t="shared" si="1"/>
        <v>116</v>
      </c>
      <c r="B119" s="15" t="s">
        <v>172</v>
      </c>
      <c r="C119" s="15" t="s">
        <v>436</v>
      </c>
      <c r="D119" s="15" t="s">
        <v>437</v>
      </c>
      <c r="E119" s="19" t="s">
        <v>244</v>
      </c>
      <c r="F119" s="15" t="s">
        <v>203</v>
      </c>
      <c r="G119" s="15" t="s">
        <v>219</v>
      </c>
      <c r="H119" s="15" t="s">
        <v>171</v>
      </c>
      <c r="I119" s="15" t="s">
        <v>29</v>
      </c>
      <c r="J119" s="15" t="s">
        <v>31</v>
      </c>
      <c r="K119" s="70" t="s">
        <v>245</v>
      </c>
      <c r="L119" s="15" t="s">
        <v>242</v>
      </c>
      <c r="M119" s="15" t="s">
        <v>243</v>
      </c>
      <c r="N119" s="15"/>
      <c r="O119" s="15"/>
      <c r="P119" s="15"/>
      <c r="Q119" s="15"/>
      <c r="R119" s="15"/>
      <c r="S119" s="15"/>
      <c r="T119" s="15"/>
      <c r="U119" s="19"/>
      <c r="V119" s="19"/>
      <c r="W119" s="15"/>
      <c r="X119" s="19"/>
    </row>
    <row r="120" spans="1:24" s="73" customFormat="1" ht="30" customHeight="1" x14ac:dyDescent="0.3">
      <c r="A120" s="71">
        <f t="shared" si="1"/>
        <v>117</v>
      </c>
      <c r="B120" s="71">
        <v>0</v>
      </c>
      <c r="C120" s="71" t="s">
        <v>1289</v>
      </c>
      <c r="D120" s="71" t="s">
        <v>1290</v>
      </c>
      <c r="E120" s="72" t="s">
        <v>1050</v>
      </c>
      <c r="F120" s="71" t="s">
        <v>1291</v>
      </c>
      <c r="G120" s="71" t="s">
        <v>1285</v>
      </c>
      <c r="H120" s="71" t="s">
        <v>171</v>
      </c>
      <c r="I120" s="71" t="s">
        <v>29</v>
      </c>
      <c r="J120" s="71" t="s">
        <v>31</v>
      </c>
      <c r="K120" s="75" t="s">
        <v>245</v>
      </c>
      <c r="L120" s="71" t="s">
        <v>1247</v>
      </c>
      <c r="M120" s="71" t="s">
        <v>1248</v>
      </c>
      <c r="N120" s="71"/>
      <c r="O120" s="71"/>
      <c r="P120" s="71"/>
      <c r="Q120" s="71"/>
      <c r="R120" s="71"/>
      <c r="S120" s="71"/>
      <c r="T120" s="71"/>
      <c r="U120" s="72"/>
      <c r="V120" s="72"/>
      <c r="W120" s="71"/>
      <c r="X120" s="72"/>
    </row>
    <row r="121" spans="1:24" s="2" customFormat="1" ht="30" customHeight="1" x14ac:dyDescent="0.3">
      <c r="A121" s="15">
        <f t="shared" si="1"/>
        <v>118</v>
      </c>
      <c r="B121" s="15" t="s">
        <v>172</v>
      </c>
      <c r="C121" s="15" t="s">
        <v>438</v>
      </c>
      <c r="D121" s="15" t="s">
        <v>203</v>
      </c>
      <c r="E121" s="19" t="s">
        <v>441</v>
      </c>
      <c r="F121" s="15" t="s">
        <v>203</v>
      </c>
      <c r="G121" s="15" t="s">
        <v>219</v>
      </c>
      <c r="H121" s="15" t="s">
        <v>171</v>
      </c>
      <c r="I121" s="15" t="s">
        <v>239</v>
      </c>
      <c r="J121" s="15" t="s">
        <v>31</v>
      </c>
      <c r="K121" s="70" t="s">
        <v>245</v>
      </c>
      <c r="L121" s="70" t="s">
        <v>245</v>
      </c>
      <c r="M121" s="15" t="s">
        <v>240</v>
      </c>
      <c r="N121" s="15"/>
      <c r="O121" s="15"/>
      <c r="P121" s="15"/>
      <c r="Q121" s="15"/>
      <c r="R121" s="15"/>
      <c r="S121" s="15"/>
      <c r="T121" s="15"/>
      <c r="U121" s="19"/>
      <c r="V121" s="19"/>
      <c r="W121" s="15"/>
      <c r="X121" s="19"/>
    </row>
    <row r="122" spans="1:24" s="2" customFormat="1" ht="30" customHeight="1" x14ac:dyDescent="0.3">
      <c r="A122" s="15">
        <f t="shared" si="1"/>
        <v>119</v>
      </c>
      <c r="B122" s="15" t="s">
        <v>172</v>
      </c>
      <c r="C122" s="15" t="s">
        <v>440</v>
      </c>
      <c r="D122" s="15" t="s">
        <v>203</v>
      </c>
      <c r="E122" s="19" t="s">
        <v>439</v>
      </c>
      <c r="F122" s="15" t="s">
        <v>203</v>
      </c>
      <c r="G122" s="15" t="s">
        <v>219</v>
      </c>
      <c r="H122" s="15" t="s">
        <v>171</v>
      </c>
      <c r="I122" s="15" t="s">
        <v>239</v>
      </c>
      <c r="J122" s="15" t="s">
        <v>31</v>
      </c>
      <c r="K122" s="70" t="s">
        <v>245</v>
      </c>
      <c r="L122" s="70" t="s">
        <v>245</v>
      </c>
      <c r="M122" s="15" t="s">
        <v>246</v>
      </c>
      <c r="N122" s="15"/>
      <c r="O122" s="15"/>
      <c r="P122" s="15"/>
      <c r="Q122" s="15"/>
      <c r="R122" s="15"/>
      <c r="S122" s="15"/>
      <c r="T122" s="15"/>
      <c r="U122" s="19"/>
      <c r="V122" s="19"/>
      <c r="W122" s="15"/>
      <c r="X122" s="19"/>
    </row>
    <row r="123" spans="1:24" s="2" customFormat="1" ht="30" customHeight="1" x14ac:dyDescent="0.3">
      <c r="A123" s="15">
        <f t="shared" si="1"/>
        <v>120</v>
      </c>
      <c r="B123" s="15" t="s">
        <v>172</v>
      </c>
      <c r="C123" s="15" t="s">
        <v>442</v>
      </c>
      <c r="D123" s="15" t="s">
        <v>443</v>
      </c>
      <c r="E123" s="19" t="s">
        <v>444</v>
      </c>
      <c r="F123" s="15" t="s">
        <v>204</v>
      </c>
      <c r="G123" s="15" t="s">
        <v>219</v>
      </c>
      <c r="H123" s="15" t="s">
        <v>171</v>
      </c>
      <c r="I123" s="15" t="s">
        <v>29</v>
      </c>
      <c r="J123" s="15" t="s">
        <v>31</v>
      </c>
      <c r="K123" s="70" t="s">
        <v>245</v>
      </c>
      <c r="L123" s="70" t="s">
        <v>245</v>
      </c>
      <c r="M123" s="15" t="s">
        <v>241</v>
      </c>
      <c r="N123" s="15"/>
      <c r="O123" s="15"/>
      <c r="P123" s="15"/>
      <c r="Q123" s="15"/>
      <c r="R123" s="15"/>
      <c r="S123" s="15"/>
      <c r="T123" s="15"/>
      <c r="U123" s="19"/>
      <c r="V123" s="19"/>
      <c r="W123" s="15"/>
      <c r="X123" s="19"/>
    </row>
    <row r="124" spans="1:24" s="2" customFormat="1" ht="30" customHeight="1" x14ac:dyDescent="0.3">
      <c r="A124" s="15">
        <f t="shared" si="1"/>
        <v>121</v>
      </c>
      <c r="B124" s="15" t="s">
        <v>172</v>
      </c>
      <c r="C124" s="15" t="s">
        <v>445</v>
      </c>
      <c r="D124" s="15" t="s">
        <v>446</v>
      </c>
      <c r="E124" s="19" t="s">
        <v>447</v>
      </c>
      <c r="F124" s="15" t="s">
        <v>204</v>
      </c>
      <c r="G124" s="15" t="s">
        <v>219</v>
      </c>
      <c r="H124" s="15" t="s">
        <v>171</v>
      </c>
      <c r="I124" s="15" t="s">
        <v>29</v>
      </c>
      <c r="J124" s="15" t="s">
        <v>31</v>
      </c>
      <c r="K124" s="70" t="s">
        <v>245</v>
      </c>
      <c r="L124" s="70" t="s">
        <v>245</v>
      </c>
      <c r="M124" s="15" t="s">
        <v>240</v>
      </c>
      <c r="N124" s="15"/>
      <c r="O124" s="15"/>
      <c r="P124" s="15"/>
      <c r="Q124" s="15"/>
      <c r="R124" s="15"/>
      <c r="S124" s="15"/>
      <c r="T124" s="15"/>
      <c r="U124" s="19"/>
      <c r="V124" s="19"/>
      <c r="W124" s="15"/>
      <c r="X124" s="19"/>
    </row>
    <row r="125" spans="1:24" s="2" customFormat="1" ht="30" customHeight="1" x14ac:dyDescent="0.3">
      <c r="A125" s="15">
        <f t="shared" si="1"/>
        <v>122</v>
      </c>
      <c r="B125" s="15" t="s">
        <v>172</v>
      </c>
      <c r="C125" s="15" t="s">
        <v>448</v>
      </c>
      <c r="D125" s="15" t="s">
        <v>449</v>
      </c>
      <c r="E125" s="19" t="s">
        <v>244</v>
      </c>
      <c r="F125" s="15" t="s">
        <v>204</v>
      </c>
      <c r="G125" s="15" t="s">
        <v>219</v>
      </c>
      <c r="H125" s="15" t="s">
        <v>171</v>
      </c>
      <c r="I125" s="15" t="s">
        <v>29</v>
      </c>
      <c r="J125" s="15" t="s">
        <v>31</v>
      </c>
      <c r="K125" s="70" t="s">
        <v>245</v>
      </c>
      <c r="L125" s="15" t="s">
        <v>242</v>
      </c>
      <c r="M125" s="15" t="s">
        <v>243</v>
      </c>
      <c r="N125" s="15"/>
      <c r="O125" s="15"/>
      <c r="P125" s="15"/>
      <c r="Q125" s="15"/>
      <c r="R125" s="15"/>
      <c r="S125" s="15"/>
      <c r="T125" s="15"/>
      <c r="U125" s="19"/>
      <c r="V125" s="19"/>
      <c r="W125" s="15"/>
      <c r="X125" s="19"/>
    </row>
    <row r="126" spans="1:24" s="73" customFormat="1" ht="30" customHeight="1" x14ac:dyDescent="0.3">
      <c r="A126" s="71">
        <f t="shared" si="1"/>
        <v>123</v>
      </c>
      <c r="B126" s="71">
        <v>0</v>
      </c>
      <c r="C126" s="71" t="s">
        <v>1292</v>
      </c>
      <c r="D126" s="71" t="s">
        <v>1293</v>
      </c>
      <c r="E126" s="72" t="s">
        <v>1050</v>
      </c>
      <c r="F126" s="71" t="s">
        <v>1294</v>
      </c>
      <c r="G126" s="71" t="s">
        <v>1285</v>
      </c>
      <c r="H126" s="71" t="s">
        <v>171</v>
      </c>
      <c r="I126" s="71" t="s">
        <v>29</v>
      </c>
      <c r="J126" s="71" t="s">
        <v>31</v>
      </c>
      <c r="K126" s="75" t="s">
        <v>245</v>
      </c>
      <c r="L126" s="71" t="s">
        <v>1247</v>
      </c>
      <c r="M126" s="71" t="s">
        <v>1248</v>
      </c>
      <c r="N126" s="71"/>
      <c r="O126" s="71"/>
      <c r="P126" s="71"/>
      <c r="Q126" s="71"/>
      <c r="R126" s="71"/>
      <c r="S126" s="71"/>
      <c r="T126" s="71"/>
      <c r="U126" s="72"/>
      <c r="V126" s="72"/>
      <c r="W126" s="71"/>
      <c r="X126" s="72"/>
    </row>
    <row r="127" spans="1:24" s="2" customFormat="1" ht="30" customHeight="1" x14ac:dyDescent="0.3">
      <c r="A127" s="15">
        <f t="shared" si="1"/>
        <v>124</v>
      </c>
      <c r="B127" s="15" t="s">
        <v>172</v>
      </c>
      <c r="C127" s="15" t="s">
        <v>450</v>
      </c>
      <c r="D127" s="15" t="s">
        <v>204</v>
      </c>
      <c r="E127" s="19" t="s">
        <v>453</v>
      </c>
      <c r="F127" s="15" t="s">
        <v>204</v>
      </c>
      <c r="G127" s="15" t="s">
        <v>219</v>
      </c>
      <c r="H127" s="15" t="s">
        <v>171</v>
      </c>
      <c r="I127" s="15" t="s">
        <v>239</v>
      </c>
      <c r="J127" s="15" t="s">
        <v>31</v>
      </c>
      <c r="K127" s="70" t="s">
        <v>245</v>
      </c>
      <c r="L127" s="70" t="s">
        <v>245</v>
      </c>
      <c r="M127" s="15" t="s">
        <v>240</v>
      </c>
      <c r="N127" s="15"/>
      <c r="O127" s="15"/>
      <c r="P127" s="15"/>
      <c r="Q127" s="15"/>
      <c r="R127" s="15"/>
      <c r="S127" s="15"/>
      <c r="T127" s="15"/>
      <c r="U127" s="19"/>
      <c r="V127" s="19"/>
      <c r="W127" s="15"/>
      <c r="X127" s="19"/>
    </row>
    <row r="128" spans="1:24" s="2" customFormat="1" ht="30" customHeight="1" x14ac:dyDescent="0.3">
      <c r="A128" s="15">
        <f t="shared" si="1"/>
        <v>125</v>
      </c>
      <c r="B128" s="15" t="s">
        <v>172</v>
      </c>
      <c r="C128" s="15" t="s">
        <v>452</v>
      </c>
      <c r="D128" s="15" t="s">
        <v>204</v>
      </c>
      <c r="E128" s="19" t="s">
        <v>451</v>
      </c>
      <c r="F128" s="15" t="s">
        <v>204</v>
      </c>
      <c r="G128" s="15" t="s">
        <v>219</v>
      </c>
      <c r="H128" s="15" t="s">
        <v>171</v>
      </c>
      <c r="I128" s="15" t="s">
        <v>239</v>
      </c>
      <c r="J128" s="15" t="s">
        <v>31</v>
      </c>
      <c r="K128" s="70" t="s">
        <v>245</v>
      </c>
      <c r="L128" s="70" t="s">
        <v>245</v>
      </c>
      <c r="M128" s="15" t="s">
        <v>246</v>
      </c>
      <c r="N128" s="15"/>
      <c r="O128" s="15"/>
      <c r="P128" s="15"/>
      <c r="Q128" s="15"/>
      <c r="R128" s="15"/>
      <c r="S128" s="15"/>
      <c r="T128" s="15"/>
      <c r="U128" s="19"/>
      <c r="V128" s="19"/>
      <c r="W128" s="15"/>
      <c r="X128" s="19"/>
    </row>
    <row r="129" spans="1:24" s="2" customFormat="1" ht="30" customHeight="1" x14ac:dyDescent="0.3">
      <c r="A129" s="15">
        <f t="shared" si="1"/>
        <v>126</v>
      </c>
      <c r="B129" s="15" t="s">
        <v>172</v>
      </c>
      <c r="C129" s="15" t="s">
        <v>454</v>
      </c>
      <c r="D129" s="15" t="s">
        <v>455</v>
      </c>
      <c r="E129" s="19" t="s">
        <v>456</v>
      </c>
      <c r="F129" s="15" t="s">
        <v>205</v>
      </c>
      <c r="G129" s="15" t="s">
        <v>219</v>
      </c>
      <c r="H129" s="15" t="s">
        <v>171</v>
      </c>
      <c r="I129" s="15" t="s">
        <v>29</v>
      </c>
      <c r="J129" s="15" t="s">
        <v>31</v>
      </c>
      <c r="K129" s="70" t="s">
        <v>245</v>
      </c>
      <c r="L129" s="70" t="s">
        <v>245</v>
      </c>
      <c r="M129" s="15" t="s">
        <v>241</v>
      </c>
      <c r="N129" s="15"/>
      <c r="O129" s="15"/>
      <c r="P129" s="15"/>
      <c r="Q129" s="15"/>
      <c r="R129" s="15"/>
      <c r="S129" s="15"/>
      <c r="T129" s="15"/>
      <c r="U129" s="19"/>
      <c r="V129" s="19"/>
      <c r="W129" s="15"/>
      <c r="X129" s="19"/>
    </row>
    <row r="130" spans="1:24" s="2" customFormat="1" ht="30" customHeight="1" x14ac:dyDescent="0.3">
      <c r="A130" s="15">
        <f t="shared" si="1"/>
        <v>127</v>
      </c>
      <c r="B130" s="15" t="s">
        <v>172</v>
      </c>
      <c r="C130" s="15" t="s">
        <v>457</v>
      </c>
      <c r="D130" s="15" t="s">
        <v>458</v>
      </c>
      <c r="E130" s="19" t="s">
        <v>459</v>
      </c>
      <c r="F130" s="15" t="s">
        <v>205</v>
      </c>
      <c r="G130" s="15" t="s">
        <v>219</v>
      </c>
      <c r="H130" s="15" t="s">
        <v>171</v>
      </c>
      <c r="I130" s="15" t="s">
        <v>29</v>
      </c>
      <c r="J130" s="15" t="s">
        <v>31</v>
      </c>
      <c r="K130" s="70" t="s">
        <v>245</v>
      </c>
      <c r="L130" s="70" t="s">
        <v>245</v>
      </c>
      <c r="M130" s="15" t="s">
        <v>240</v>
      </c>
      <c r="N130" s="15"/>
      <c r="O130" s="15"/>
      <c r="P130" s="15"/>
      <c r="Q130" s="15"/>
      <c r="R130" s="15"/>
      <c r="S130" s="15"/>
      <c r="T130" s="15"/>
      <c r="U130" s="19"/>
      <c r="V130" s="19"/>
      <c r="W130" s="15"/>
      <c r="X130" s="19"/>
    </row>
    <row r="131" spans="1:24" s="2" customFormat="1" ht="30" customHeight="1" x14ac:dyDescent="0.3">
      <c r="A131" s="15">
        <f t="shared" si="1"/>
        <v>128</v>
      </c>
      <c r="B131" s="15" t="s">
        <v>172</v>
      </c>
      <c r="C131" s="15" t="s">
        <v>460</v>
      </c>
      <c r="D131" s="15" t="s">
        <v>461</v>
      </c>
      <c r="E131" s="19" t="s">
        <v>244</v>
      </c>
      <c r="F131" s="15" t="s">
        <v>205</v>
      </c>
      <c r="G131" s="15" t="s">
        <v>219</v>
      </c>
      <c r="H131" s="15" t="s">
        <v>171</v>
      </c>
      <c r="I131" s="15" t="s">
        <v>29</v>
      </c>
      <c r="J131" s="15" t="s">
        <v>31</v>
      </c>
      <c r="K131" s="70" t="s">
        <v>245</v>
      </c>
      <c r="L131" s="15" t="s">
        <v>242</v>
      </c>
      <c r="M131" s="15" t="s">
        <v>243</v>
      </c>
      <c r="N131" s="15"/>
      <c r="O131" s="15"/>
      <c r="P131" s="15"/>
      <c r="Q131" s="15"/>
      <c r="R131" s="15"/>
      <c r="S131" s="15"/>
      <c r="T131" s="15"/>
      <c r="U131" s="19"/>
      <c r="V131" s="19"/>
      <c r="W131" s="15"/>
      <c r="X131" s="19"/>
    </row>
    <row r="132" spans="1:24" s="73" customFormat="1" ht="30" customHeight="1" x14ac:dyDescent="0.3">
      <c r="A132" s="71">
        <f t="shared" si="1"/>
        <v>129</v>
      </c>
      <c r="B132" s="71">
        <v>0</v>
      </c>
      <c r="C132" s="71" t="s">
        <v>1295</v>
      </c>
      <c r="D132" s="71" t="s">
        <v>1296</v>
      </c>
      <c r="E132" s="72" t="s">
        <v>1050</v>
      </c>
      <c r="F132" s="71" t="s">
        <v>1297</v>
      </c>
      <c r="G132" s="71" t="s">
        <v>1285</v>
      </c>
      <c r="H132" s="71" t="s">
        <v>171</v>
      </c>
      <c r="I132" s="71" t="s">
        <v>29</v>
      </c>
      <c r="J132" s="71" t="s">
        <v>31</v>
      </c>
      <c r="K132" s="75" t="s">
        <v>245</v>
      </c>
      <c r="L132" s="71" t="s">
        <v>1247</v>
      </c>
      <c r="M132" s="71" t="s">
        <v>1248</v>
      </c>
      <c r="N132" s="71"/>
      <c r="O132" s="71"/>
      <c r="P132" s="71"/>
      <c r="Q132" s="71"/>
      <c r="R132" s="71"/>
      <c r="S132" s="71"/>
      <c r="T132" s="71"/>
      <c r="U132" s="72"/>
      <c r="V132" s="72"/>
      <c r="W132" s="71"/>
      <c r="X132" s="72"/>
    </row>
    <row r="133" spans="1:24" s="2" customFormat="1" ht="30" customHeight="1" x14ac:dyDescent="0.3">
      <c r="A133" s="15">
        <f t="shared" si="1"/>
        <v>130</v>
      </c>
      <c r="B133" s="15" t="s">
        <v>172</v>
      </c>
      <c r="C133" s="15" t="s">
        <v>462</v>
      </c>
      <c r="D133" s="15" t="s">
        <v>205</v>
      </c>
      <c r="E133" s="19" t="s">
        <v>465</v>
      </c>
      <c r="F133" s="15" t="s">
        <v>205</v>
      </c>
      <c r="G133" s="15" t="s">
        <v>219</v>
      </c>
      <c r="H133" s="15" t="s">
        <v>171</v>
      </c>
      <c r="I133" s="15" t="s">
        <v>239</v>
      </c>
      <c r="J133" s="15" t="s">
        <v>31</v>
      </c>
      <c r="K133" s="70" t="s">
        <v>245</v>
      </c>
      <c r="L133" s="70" t="s">
        <v>245</v>
      </c>
      <c r="M133" s="15" t="s">
        <v>240</v>
      </c>
      <c r="N133" s="15"/>
      <c r="O133" s="15"/>
      <c r="P133" s="15"/>
      <c r="Q133" s="15"/>
      <c r="R133" s="15"/>
      <c r="S133" s="15"/>
      <c r="T133" s="15"/>
      <c r="U133" s="19"/>
      <c r="V133" s="19"/>
      <c r="W133" s="15"/>
      <c r="X133" s="19"/>
    </row>
    <row r="134" spans="1:24" s="2" customFormat="1" ht="30" customHeight="1" x14ac:dyDescent="0.3">
      <c r="A134" s="15">
        <f t="shared" si="1"/>
        <v>131</v>
      </c>
      <c r="B134" s="15" t="s">
        <v>172</v>
      </c>
      <c r="C134" s="15" t="s">
        <v>464</v>
      </c>
      <c r="D134" s="15" t="s">
        <v>205</v>
      </c>
      <c r="E134" s="19" t="s">
        <v>463</v>
      </c>
      <c r="F134" s="15" t="s">
        <v>205</v>
      </c>
      <c r="G134" s="15" t="s">
        <v>219</v>
      </c>
      <c r="H134" s="15" t="s">
        <v>171</v>
      </c>
      <c r="I134" s="15" t="s">
        <v>239</v>
      </c>
      <c r="J134" s="15" t="s">
        <v>31</v>
      </c>
      <c r="K134" s="70" t="s">
        <v>245</v>
      </c>
      <c r="L134" s="70" t="s">
        <v>245</v>
      </c>
      <c r="M134" s="15" t="s">
        <v>246</v>
      </c>
      <c r="N134" s="15"/>
      <c r="O134" s="15"/>
      <c r="P134" s="15"/>
      <c r="Q134" s="15"/>
      <c r="R134" s="15"/>
      <c r="S134" s="15"/>
      <c r="T134" s="15"/>
      <c r="U134" s="19"/>
      <c r="V134" s="19"/>
      <c r="W134" s="15"/>
      <c r="X134" s="19"/>
    </row>
    <row r="135" spans="1:24" s="3" customFormat="1" ht="30" customHeight="1" x14ac:dyDescent="0.3">
      <c r="A135" s="14">
        <f t="shared" si="1"/>
        <v>132</v>
      </c>
      <c r="B135" s="15" t="s">
        <v>172</v>
      </c>
      <c r="C135" s="15" t="s">
        <v>466</v>
      </c>
      <c r="D135" s="15" t="s">
        <v>467</v>
      </c>
      <c r="E135" s="19" t="s">
        <v>708</v>
      </c>
      <c r="F135" s="15" t="s">
        <v>205</v>
      </c>
      <c r="G135" s="15" t="s">
        <v>219</v>
      </c>
      <c r="H135" s="14" t="s">
        <v>171</v>
      </c>
      <c r="I135" s="14" t="s">
        <v>25</v>
      </c>
      <c r="J135" s="14" t="s">
        <v>30</v>
      </c>
      <c r="K135" s="14" t="s">
        <v>163</v>
      </c>
      <c r="L135" s="14" t="s">
        <v>163</v>
      </c>
      <c r="M135" s="14" t="s">
        <v>163</v>
      </c>
      <c r="N135" s="14"/>
      <c r="O135" s="14"/>
      <c r="P135" s="14"/>
      <c r="Q135" s="14"/>
      <c r="R135" s="14">
        <v>0</v>
      </c>
      <c r="S135" s="14">
        <v>100</v>
      </c>
      <c r="T135" s="14" t="s">
        <v>252</v>
      </c>
      <c r="U135" s="5"/>
      <c r="V135" s="5"/>
      <c r="W135" s="14"/>
      <c r="X135" s="5"/>
    </row>
    <row r="136" spans="1:24" s="2" customFormat="1" ht="30" customHeight="1" x14ac:dyDescent="0.3">
      <c r="A136" s="15">
        <f t="shared" si="1"/>
        <v>133</v>
      </c>
      <c r="B136" s="15" t="s">
        <v>172</v>
      </c>
      <c r="C136" s="15" t="s">
        <v>468</v>
      </c>
      <c r="D136" s="15" t="s">
        <v>469</v>
      </c>
      <c r="E136" s="19" t="s">
        <v>470</v>
      </c>
      <c r="F136" s="15" t="s">
        <v>206</v>
      </c>
      <c r="G136" s="15" t="s">
        <v>219</v>
      </c>
      <c r="H136" s="15" t="s">
        <v>171</v>
      </c>
      <c r="I136" s="15" t="s">
        <v>29</v>
      </c>
      <c r="J136" s="15" t="s">
        <v>31</v>
      </c>
      <c r="K136" s="70" t="s">
        <v>245</v>
      </c>
      <c r="L136" s="70" t="s">
        <v>245</v>
      </c>
      <c r="M136" s="15" t="s">
        <v>241</v>
      </c>
      <c r="N136" s="15"/>
      <c r="O136" s="15"/>
      <c r="P136" s="15"/>
      <c r="Q136" s="15"/>
      <c r="R136" s="15"/>
      <c r="S136" s="15"/>
      <c r="T136" s="15"/>
      <c r="U136" s="19"/>
      <c r="V136" s="19"/>
      <c r="W136" s="15"/>
      <c r="X136" s="19"/>
    </row>
    <row r="137" spans="1:24" s="2" customFormat="1" ht="30" customHeight="1" x14ac:dyDescent="0.3">
      <c r="A137" s="15">
        <f t="shared" si="1"/>
        <v>134</v>
      </c>
      <c r="B137" s="15" t="s">
        <v>172</v>
      </c>
      <c r="C137" s="15" t="s">
        <v>471</v>
      </c>
      <c r="D137" s="15" t="s">
        <v>472</v>
      </c>
      <c r="E137" s="19" t="s">
        <v>473</v>
      </c>
      <c r="F137" s="15" t="s">
        <v>206</v>
      </c>
      <c r="G137" s="15" t="s">
        <v>219</v>
      </c>
      <c r="H137" s="15" t="s">
        <v>171</v>
      </c>
      <c r="I137" s="15" t="s">
        <v>29</v>
      </c>
      <c r="J137" s="15" t="s">
        <v>31</v>
      </c>
      <c r="K137" s="70" t="s">
        <v>245</v>
      </c>
      <c r="L137" s="70" t="s">
        <v>245</v>
      </c>
      <c r="M137" s="15" t="s">
        <v>240</v>
      </c>
      <c r="N137" s="15"/>
      <c r="O137" s="15"/>
      <c r="P137" s="15"/>
      <c r="Q137" s="15"/>
      <c r="R137" s="15"/>
      <c r="S137" s="15"/>
      <c r="T137" s="15"/>
      <c r="U137" s="19"/>
      <c r="V137" s="19"/>
      <c r="W137" s="15"/>
      <c r="X137" s="19"/>
    </row>
    <row r="138" spans="1:24" s="2" customFormat="1" ht="30" customHeight="1" x14ac:dyDescent="0.3">
      <c r="A138" s="15">
        <f t="shared" si="1"/>
        <v>135</v>
      </c>
      <c r="B138" s="15" t="s">
        <v>172</v>
      </c>
      <c r="C138" s="15" t="s">
        <v>474</v>
      </c>
      <c r="D138" s="15" t="s">
        <v>475</v>
      </c>
      <c r="E138" s="19" t="s">
        <v>244</v>
      </c>
      <c r="F138" s="15" t="s">
        <v>206</v>
      </c>
      <c r="G138" s="15" t="s">
        <v>219</v>
      </c>
      <c r="H138" s="15" t="s">
        <v>171</v>
      </c>
      <c r="I138" s="15" t="s">
        <v>29</v>
      </c>
      <c r="J138" s="15" t="s">
        <v>31</v>
      </c>
      <c r="K138" s="70" t="s">
        <v>245</v>
      </c>
      <c r="L138" s="15" t="s">
        <v>242</v>
      </c>
      <c r="M138" s="15" t="s">
        <v>243</v>
      </c>
      <c r="N138" s="15"/>
      <c r="O138" s="15"/>
      <c r="P138" s="15"/>
      <c r="Q138" s="15"/>
      <c r="R138" s="15"/>
      <c r="S138" s="15"/>
      <c r="T138" s="15"/>
      <c r="U138" s="19"/>
      <c r="V138" s="19"/>
      <c r="W138" s="15"/>
      <c r="X138" s="19"/>
    </row>
    <row r="139" spans="1:24" s="73" customFormat="1" ht="30" customHeight="1" x14ac:dyDescent="0.3">
      <c r="A139" s="71">
        <f t="shared" si="1"/>
        <v>136</v>
      </c>
      <c r="B139" s="71">
        <v>0</v>
      </c>
      <c r="C139" s="71" t="s">
        <v>1298</v>
      </c>
      <c r="D139" s="71" t="s">
        <v>1299</v>
      </c>
      <c r="E139" s="72" t="s">
        <v>1050</v>
      </c>
      <c r="F139" s="71" t="s">
        <v>1300</v>
      </c>
      <c r="G139" s="71" t="s">
        <v>1285</v>
      </c>
      <c r="H139" s="71" t="s">
        <v>171</v>
      </c>
      <c r="I139" s="71" t="s">
        <v>29</v>
      </c>
      <c r="J139" s="71" t="s">
        <v>31</v>
      </c>
      <c r="K139" s="75" t="s">
        <v>245</v>
      </c>
      <c r="L139" s="71" t="s">
        <v>1247</v>
      </c>
      <c r="M139" s="71" t="s">
        <v>1248</v>
      </c>
      <c r="N139" s="71"/>
      <c r="O139" s="71"/>
      <c r="P139" s="71"/>
      <c r="Q139" s="71"/>
      <c r="R139" s="71"/>
      <c r="S139" s="71"/>
      <c r="T139" s="71"/>
      <c r="U139" s="72"/>
      <c r="V139" s="72"/>
      <c r="W139" s="71"/>
      <c r="X139" s="72"/>
    </row>
    <row r="140" spans="1:24" s="2" customFormat="1" ht="30" customHeight="1" x14ac:dyDescent="0.3">
      <c r="A140" s="15">
        <f t="shared" si="1"/>
        <v>137</v>
      </c>
      <c r="B140" s="15" t="s">
        <v>172</v>
      </c>
      <c r="C140" s="15" t="s">
        <v>476</v>
      </c>
      <c r="D140" s="15" t="s">
        <v>206</v>
      </c>
      <c r="E140" s="19" t="s">
        <v>479</v>
      </c>
      <c r="F140" s="15" t="s">
        <v>206</v>
      </c>
      <c r="G140" s="15" t="s">
        <v>219</v>
      </c>
      <c r="H140" s="15" t="s">
        <v>171</v>
      </c>
      <c r="I140" s="15" t="s">
        <v>239</v>
      </c>
      <c r="J140" s="15" t="s">
        <v>31</v>
      </c>
      <c r="K140" s="70" t="s">
        <v>245</v>
      </c>
      <c r="L140" s="70" t="s">
        <v>245</v>
      </c>
      <c r="M140" s="15" t="s">
        <v>240</v>
      </c>
      <c r="N140" s="15"/>
      <c r="O140" s="15"/>
      <c r="P140" s="15"/>
      <c r="Q140" s="15"/>
      <c r="R140" s="15"/>
      <c r="S140" s="15"/>
      <c r="T140" s="15"/>
      <c r="U140" s="19"/>
      <c r="V140" s="19"/>
      <c r="W140" s="15"/>
      <c r="X140" s="19"/>
    </row>
    <row r="141" spans="1:24" s="2" customFormat="1" ht="30" customHeight="1" x14ac:dyDescent="0.3">
      <c r="A141" s="15">
        <f t="shared" si="1"/>
        <v>138</v>
      </c>
      <c r="B141" s="15" t="s">
        <v>172</v>
      </c>
      <c r="C141" s="15" t="s">
        <v>478</v>
      </c>
      <c r="D141" s="15" t="s">
        <v>206</v>
      </c>
      <c r="E141" s="19" t="s">
        <v>477</v>
      </c>
      <c r="F141" s="15" t="s">
        <v>206</v>
      </c>
      <c r="G141" s="15" t="s">
        <v>219</v>
      </c>
      <c r="H141" s="15" t="s">
        <v>171</v>
      </c>
      <c r="I141" s="15" t="s">
        <v>239</v>
      </c>
      <c r="J141" s="15" t="s">
        <v>31</v>
      </c>
      <c r="K141" s="70" t="s">
        <v>245</v>
      </c>
      <c r="L141" s="70" t="s">
        <v>245</v>
      </c>
      <c r="M141" s="15" t="s">
        <v>246</v>
      </c>
      <c r="N141" s="15"/>
      <c r="O141" s="15"/>
      <c r="P141" s="15"/>
      <c r="Q141" s="15"/>
      <c r="R141" s="15"/>
      <c r="S141" s="15"/>
      <c r="T141" s="15"/>
      <c r="U141" s="19"/>
      <c r="V141" s="19"/>
      <c r="W141" s="15"/>
      <c r="X141" s="19"/>
    </row>
    <row r="142" spans="1:24" s="2" customFormat="1" ht="30" customHeight="1" x14ac:dyDescent="0.3">
      <c r="A142" s="15">
        <f t="shared" si="1"/>
        <v>139</v>
      </c>
      <c r="B142" s="15" t="s">
        <v>172</v>
      </c>
      <c r="C142" s="15" t="s">
        <v>480</v>
      </c>
      <c r="D142" s="15" t="s">
        <v>481</v>
      </c>
      <c r="E142" s="19" t="s">
        <v>482</v>
      </c>
      <c r="F142" s="15" t="s">
        <v>207</v>
      </c>
      <c r="G142" s="15" t="s">
        <v>219</v>
      </c>
      <c r="H142" s="15" t="s">
        <v>171</v>
      </c>
      <c r="I142" s="15" t="s">
        <v>29</v>
      </c>
      <c r="J142" s="15" t="s">
        <v>31</v>
      </c>
      <c r="K142" s="70" t="s">
        <v>245</v>
      </c>
      <c r="L142" s="70" t="s">
        <v>245</v>
      </c>
      <c r="M142" s="15" t="s">
        <v>241</v>
      </c>
      <c r="N142" s="15"/>
      <c r="O142" s="15"/>
      <c r="P142" s="15"/>
      <c r="Q142" s="15"/>
      <c r="R142" s="15"/>
      <c r="S142" s="15"/>
      <c r="T142" s="15"/>
      <c r="U142" s="19"/>
      <c r="V142" s="19"/>
      <c r="W142" s="15"/>
      <c r="X142" s="19"/>
    </row>
    <row r="143" spans="1:24" s="2" customFormat="1" ht="30" customHeight="1" x14ac:dyDescent="0.3">
      <c r="A143" s="15">
        <f t="shared" si="1"/>
        <v>140</v>
      </c>
      <c r="B143" s="15" t="s">
        <v>172</v>
      </c>
      <c r="C143" s="15" t="s">
        <v>483</v>
      </c>
      <c r="D143" s="15" t="s">
        <v>484</v>
      </c>
      <c r="E143" s="19" t="s">
        <v>485</v>
      </c>
      <c r="F143" s="15" t="s">
        <v>207</v>
      </c>
      <c r="G143" s="15" t="s">
        <v>219</v>
      </c>
      <c r="H143" s="15" t="s">
        <v>171</v>
      </c>
      <c r="I143" s="15" t="s">
        <v>29</v>
      </c>
      <c r="J143" s="15" t="s">
        <v>31</v>
      </c>
      <c r="K143" s="70" t="s">
        <v>245</v>
      </c>
      <c r="L143" s="70" t="s">
        <v>245</v>
      </c>
      <c r="M143" s="15" t="s">
        <v>240</v>
      </c>
      <c r="N143" s="15"/>
      <c r="O143" s="15"/>
      <c r="P143" s="15"/>
      <c r="Q143" s="15"/>
      <c r="R143" s="15"/>
      <c r="S143" s="15"/>
      <c r="T143" s="15"/>
      <c r="U143" s="19"/>
      <c r="V143" s="19"/>
      <c r="W143" s="15"/>
      <c r="X143" s="19"/>
    </row>
    <row r="144" spans="1:24" s="2" customFormat="1" ht="30" customHeight="1" x14ac:dyDescent="0.3">
      <c r="A144" s="15">
        <f t="shared" si="1"/>
        <v>141</v>
      </c>
      <c r="B144" s="15" t="s">
        <v>172</v>
      </c>
      <c r="C144" s="15" t="s">
        <v>486</v>
      </c>
      <c r="D144" s="15" t="s">
        <v>487</v>
      </c>
      <c r="E144" s="19" t="s">
        <v>244</v>
      </c>
      <c r="F144" s="15" t="s">
        <v>207</v>
      </c>
      <c r="G144" s="15" t="s">
        <v>219</v>
      </c>
      <c r="H144" s="15" t="s">
        <v>171</v>
      </c>
      <c r="I144" s="15" t="s">
        <v>29</v>
      </c>
      <c r="J144" s="15" t="s">
        <v>31</v>
      </c>
      <c r="K144" s="70" t="s">
        <v>245</v>
      </c>
      <c r="L144" s="15" t="s">
        <v>242</v>
      </c>
      <c r="M144" s="15" t="s">
        <v>243</v>
      </c>
      <c r="N144" s="15"/>
      <c r="O144" s="15"/>
      <c r="P144" s="15"/>
      <c r="Q144" s="15"/>
      <c r="R144" s="15"/>
      <c r="S144" s="15"/>
      <c r="T144" s="15"/>
      <c r="U144" s="19"/>
      <c r="V144" s="19"/>
      <c r="W144" s="15"/>
      <c r="X144" s="19"/>
    </row>
    <row r="145" spans="1:24" s="73" customFormat="1" ht="30" customHeight="1" x14ac:dyDescent="0.3">
      <c r="A145" s="71">
        <f t="shared" si="1"/>
        <v>142</v>
      </c>
      <c r="B145" s="71">
        <v>0</v>
      </c>
      <c r="C145" s="71" t="s">
        <v>1301</v>
      </c>
      <c r="D145" s="71" t="s">
        <v>1302</v>
      </c>
      <c r="E145" s="72" t="s">
        <v>1050</v>
      </c>
      <c r="F145" s="71" t="s">
        <v>1303</v>
      </c>
      <c r="G145" s="71" t="s">
        <v>1285</v>
      </c>
      <c r="H145" s="71" t="s">
        <v>171</v>
      </c>
      <c r="I145" s="71" t="s">
        <v>29</v>
      </c>
      <c r="J145" s="71" t="s">
        <v>31</v>
      </c>
      <c r="K145" s="75" t="s">
        <v>245</v>
      </c>
      <c r="L145" s="71" t="s">
        <v>1247</v>
      </c>
      <c r="M145" s="71" t="s">
        <v>1248</v>
      </c>
      <c r="N145" s="71"/>
      <c r="O145" s="71"/>
      <c r="P145" s="71"/>
      <c r="Q145" s="71"/>
      <c r="R145" s="71"/>
      <c r="S145" s="71"/>
      <c r="T145" s="71"/>
      <c r="U145" s="72"/>
      <c r="V145" s="72"/>
      <c r="W145" s="71"/>
      <c r="X145" s="72"/>
    </row>
    <row r="146" spans="1:24" s="2" customFormat="1" ht="30" customHeight="1" x14ac:dyDescent="0.3">
      <c r="A146" s="15">
        <f t="shared" si="1"/>
        <v>143</v>
      </c>
      <c r="B146" s="15" t="s">
        <v>172</v>
      </c>
      <c r="C146" s="15" t="s">
        <v>488</v>
      </c>
      <c r="D146" s="15" t="s">
        <v>207</v>
      </c>
      <c r="E146" s="19" t="s">
        <v>491</v>
      </c>
      <c r="F146" s="15" t="s">
        <v>207</v>
      </c>
      <c r="G146" s="15" t="s">
        <v>219</v>
      </c>
      <c r="H146" s="15" t="s">
        <v>171</v>
      </c>
      <c r="I146" s="15" t="s">
        <v>239</v>
      </c>
      <c r="J146" s="15" t="s">
        <v>31</v>
      </c>
      <c r="K146" s="70" t="s">
        <v>245</v>
      </c>
      <c r="L146" s="70" t="s">
        <v>245</v>
      </c>
      <c r="M146" s="15" t="s">
        <v>240</v>
      </c>
      <c r="N146" s="15"/>
      <c r="O146" s="15"/>
      <c r="P146" s="15"/>
      <c r="Q146" s="15"/>
      <c r="R146" s="15"/>
      <c r="S146" s="15"/>
      <c r="T146" s="15"/>
      <c r="U146" s="19"/>
      <c r="V146" s="19"/>
      <c r="W146" s="15"/>
      <c r="X146" s="19"/>
    </row>
    <row r="147" spans="1:24" s="2" customFormat="1" ht="30" customHeight="1" x14ac:dyDescent="0.3">
      <c r="A147" s="15">
        <f t="shared" si="1"/>
        <v>144</v>
      </c>
      <c r="B147" s="15" t="s">
        <v>172</v>
      </c>
      <c r="C147" s="15" t="s">
        <v>490</v>
      </c>
      <c r="D147" s="15" t="s">
        <v>207</v>
      </c>
      <c r="E147" s="19" t="s">
        <v>489</v>
      </c>
      <c r="F147" s="15" t="s">
        <v>207</v>
      </c>
      <c r="G147" s="15" t="s">
        <v>219</v>
      </c>
      <c r="H147" s="15" t="s">
        <v>171</v>
      </c>
      <c r="I147" s="15" t="s">
        <v>239</v>
      </c>
      <c r="J147" s="15" t="s">
        <v>31</v>
      </c>
      <c r="K147" s="70" t="s">
        <v>245</v>
      </c>
      <c r="L147" s="70" t="s">
        <v>245</v>
      </c>
      <c r="M147" s="15" t="s">
        <v>246</v>
      </c>
      <c r="N147" s="15"/>
      <c r="O147" s="15"/>
      <c r="P147" s="15"/>
      <c r="Q147" s="15"/>
      <c r="R147" s="15"/>
      <c r="S147" s="15"/>
      <c r="T147" s="15"/>
      <c r="U147" s="19"/>
      <c r="V147" s="19"/>
      <c r="W147" s="15"/>
      <c r="X147" s="19"/>
    </row>
    <row r="148" spans="1:24" s="2" customFormat="1" ht="30" customHeight="1" x14ac:dyDescent="0.3">
      <c r="A148" s="15">
        <f t="shared" si="1"/>
        <v>145</v>
      </c>
      <c r="B148" s="15" t="s">
        <v>172</v>
      </c>
      <c r="C148" s="15" t="s">
        <v>492</v>
      </c>
      <c r="D148" s="15" t="s">
        <v>493</v>
      </c>
      <c r="E148" s="19" t="s">
        <v>494</v>
      </c>
      <c r="F148" s="15" t="s">
        <v>208</v>
      </c>
      <c r="G148" s="15" t="s">
        <v>219</v>
      </c>
      <c r="H148" s="15" t="s">
        <v>171</v>
      </c>
      <c r="I148" s="15" t="s">
        <v>29</v>
      </c>
      <c r="J148" s="15" t="s">
        <v>31</v>
      </c>
      <c r="K148" s="70" t="s">
        <v>245</v>
      </c>
      <c r="L148" s="70" t="s">
        <v>245</v>
      </c>
      <c r="M148" s="15" t="s">
        <v>241</v>
      </c>
      <c r="N148" s="15"/>
      <c r="O148" s="15"/>
      <c r="P148" s="15"/>
      <c r="Q148" s="15"/>
      <c r="R148" s="15"/>
      <c r="S148" s="15"/>
      <c r="T148" s="15"/>
      <c r="U148" s="19"/>
      <c r="V148" s="19"/>
      <c r="W148" s="15"/>
      <c r="X148" s="19"/>
    </row>
    <row r="149" spans="1:24" s="2" customFormat="1" ht="30" customHeight="1" x14ac:dyDescent="0.3">
      <c r="A149" s="15">
        <f t="shared" si="1"/>
        <v>146</v>
      </c>
      <c r="B149" s="15" t="s">
        <v>172</v>
      </c>
      <c r="C149" s="15" t="s">
        <v>495</v>
      </c>
      <c r="D149" s="15" t="s">
        <v>496</v>
      </c>
      <c r="E149" s="19" t="s">
        <v>497</v>
      </c>
      <c r="F149" s="15" t="s">
        <v>208</v>
      </c>
      <c r="G149" s="15" t="s">
        <v>219</v>
      </c>
      <c r="H149" s="15" t="s">
        <v>171</v>
      </c>
      <c r="I149" s="15" t="s">
        <v>29</v>
      </c>
      <c r="J149" s="15" t="s">
        <v>31</v>
      </c>
      <c r="K149" s="70" t="s">
        <v>245</v>
      </c>
      <c r="L149" s="70" t="s">
        <v>245</v>
      </c>
      <c r="M149" s="15" t="s">
        <v>240</v>
      </c>
      <c r="N149" s="15"/>
      <c r="O149" s="15"/>
      <c r="P149" s="15"/>
      <c r="Q149" s="15"/>
      <c r="R149" s="15"/>
      <c r="S149" s="15"/>
      <c r="T149" s="15"/>
      <c r="U149" s="19"/>
      <c r="V149" s="19"/>
      <c r="W149" s="15"/>
      <c r="X149" s="19"/>
    </row>
    <row r="150" spans="1:24" s="2" customFormat="1" ht="30" customHeight="1" x14ac:dyDescent="0.3">
      <c r="A150" s="15">
        <f t="shared" si="1"/>
        <v>147</v>
      </c>
      <c r="B150" s="15" t="s">
        <v>172</v>
      </c>
      <c r="C150" s="15" t="s">
        <v>498</v>
      </c>
      <c r="D150" s="15" t="s">
        <v>499</v>
      </c>
      <c r="E150" s="19" t="s">
        <v>244</v>
      </c>
      <c r="F150" s="15" t="s">
        <v>208</v>
      </c>
      <c r="G150" s="15" t="s">
        <v>219</v>
      </c>
      <c r="H150" s="15" t="s">
        <v>171</v>
      </c>
      <c r="I150" s="15" t="s">
        <v>29</v>
      </c>
      <c r="J150" s="15" t="s">
        <v>31</v>
      </c>
      <c r="K150" s="70" t="s">
        <v>245</v>
      </c>
      <c r="L150" s="15" t="s">
        <v>242</v>
      </c>
      <c r="M150" s="15" t="s">
        <v>243</v>
      </c>
      <c r="N150" s="15"/>
      <c r="O150" s="15"/>
      <c r="P150" s="15"/>
      <c r="Q150" s="15"/>
      <c r="R150" s="15"/>
      <c r="S150" s="15"/>
      <c r="T150" s="15"/>
      <c r="U150" s="19"/>
      <c r="V150" s="19"/>
      <c r="W150" s="15"/>
      <c r="X150" s="19"/>
    </row>
    <row r="151" spans="1:24" s="73" customFormat="1" ht="30" customHeight="1" x14ac:dyDescent="0.3">
      <c r="A151" s="71">
        <f t="shared" si="1"/>
        <v>148</v>
      </c>
      <c r="B151" s="71">
        <v>0</v>
      </c>
      <c r="C151" s="71" t="s">
        <v>1304</v>
      </c>
      <c r="D151" s="71" t="s">
        <v>1305</v>
      </c>
      <c r="E151" s="72" t="s">
        <v>1050</v>
      </c>
      <c r="F151" s="71" t="s">
        <v>1306</v>
      </c>
      <c r="G151" s="71" t="s">
        <v>1285</v>
      </c>
      <c r="H151" s="71" t="s">
        <v>171</v>
      </c>
      <c r="I151" s="71" t="s">
        <v>29</v>
      </c>
      <c r="J151" s="71" t="s">
        <v>31</v>
      </c>
      <c r="K151" s="75" t="s">
        <v>245</v>
      </c>
      <c r="L151" s="71" t="s">
        <v>1247</v>
      </c>
      <c r="M151" s="71" t="s">
        <v>1248</v>
      </c>
      <c r="N151" s="71"/>
      <c r="O151" s="71"/>
      <c r="P151" s="71"/>
      <c r="Q151" s="71"/>
      <c r="R151" s="71"/>
      <c r="S151" s="71"/>
      <c r="T151" s="71"/>
      <c r="U151" s="72"/>
      <c r="V151" s="72"/>
      <c r="W151" s="71"/>
      <c r="X151" s="72"/>
    </row>
    <row r="152" spans="1:24" s="2" customFormat="1" ht="30" customHeight="1" x14ac:dyDescent="0.3">
      <c r="A152" s="15">
        <f t="shared" si="1"/>
        <v>149</v>
      </c>
      <c r="B152" s="15" t="s">
        <v>172</v>
      </c>
      <c r="C152" s="15" t="s">
        <v>500</v>
      </c>
      <c r="D152" s="15" t="s">
        <v>208</v>
      </c>
      <c r="E152" s="19" t="s">
        <v>503</v>
      </c>
      <c r="F152" s="15" t="s">
        <v>208</v>
      </c>
      <c r="G152" s="15" t="s">
        <v>219</v>
      </c>
      <c r="H152" s="15" t="s">
        <v>171</v>
      </c>
      <c r="I152" s="15" t="s">
        <v>239</v>
      </c>
      <c r="J152" s="15" t="s">
        <v>31</v>
      </c>
      <c r="K152" s="70" t="s">
        <v>245</v>
      </c>
      <c r="L152" s="70" t="s">
        <v>245</v>
      </c>
      <c r="M152" s="15" t="s">
        <v>240</v>
      </c>
      <c r="N152" s="15"/>
      <c r="O152" s="15"/>
      <c r="P152" s="15"/>
      <c r="Q152" s="15"/>
      <c r="R152" s="15"/>
      <c r="S152" s="15"/>
      <c r="T152" s="15"/>
      <c r="U152" s="19"/>
      <c r="V152" s="19"/>
      <c r="W152" s="15"/>
      <c r="X152" s="19"/>
    </row>
    <row r="153" spans="1:24" s="2" customFormat="1" ht="30" customHeight="1" x14ac:dyDescent="0.3">
      <c r="A153" s="15">
        <f t="shared" ref="A153:A179" si="2">ROW()-3</f>
        <v>150</v>
      </c>
      <c r="B153" s="15" t="s">
        <v>172</v>
      </c>
      <c r="C153" s="15" t="s">
        <v>502</v>
      </c>
      <c r="D153" s="15" t="s">
        <v>208</v>
      </c>
      <c r="E153" s="19" t="s">
        <v>501</v>
      </c>
      <c r="F153" s="15" t="s">
        <v>208</v>
      </c>
      <c r="G153" s="15" t="s">
        <v>219</v>
      </c>
      <c r="H153" s="15" t="s">
        <v>171</v>
      </c>
      <c r="I153" s="15" t="s">
        <v>239</v>
      </c>
      <c r="J153" s="15" t="s">
        <v>31</v>
      </c>
      <c r="K153" s="70" t="s">
        <v>245</v>
      </c>
      <c r="L153" s="70" t="s">
        <v>245</v>
      </c>
      <c r="M153" s="15" t="s">
        <v>246</v>
      </c>
      <c r="N153" s="15"/>
      <c r="O153" s="15"/>
      <c r="P153" s="15"/>
      <c r="Q153" s="15"/>
      <c r="R153" s="15"/>
      <c r="S153" s="15"/>
      <c r="T153" s="15"/>
      <c r="U153" s="19"/>
      <c r="V153" s="19"/>
      <c r="W153" s="15"/>
      <c r="X153" s="19"/>
    </row>
    <row r="154" spans="1:24" s="3" customFormat="1" ht="30" customHeight="1" x14ac:dyDescent="0.3">
      <c r="A154" s="14">
        <f t="shared" si="2"/>
        <v>151</v>
      </c>
      <c r="B154" s="15" t="s">
        <v>172</v>
      </c>
      <c r="C154" s="15" t="s">
        <v>504</v>
      </c>
      <c r="D154" s="15" t="s">
        <v>505</v>
      </c>
      <c r="E154" s="19" t="s">
        <v>709</v>
      </c>
      <c r="F154" s="15" t="s">
        <v>208</v>
      </c>
      <c r="G154" s="15" t="s">
        <v>219</v>
      </c>
      <c r="H154" s="14" t="s">
        <v>171</v>
      </c>
      <c r="I154" s="14" t="s">
        <v>25</v>
      </c>
      <c r="J154" s="14" t="s">
        <v>30</v>
      </c>
      <c r="K154" s="14" t="s">
        <v>163</v>
      </c>
      <c r="L154" s="14" t="s">
        <v>163</v>
      </c>
      <c r="M154" s="14" t="s">
        <v>163</v>
      </c>
      <c r="N154" s="14"/>
      <c r="O154" s="14"/>
      <c r="P154" s="14"/>
      <c r="Q154" s="14"/>
      <c r="R154" s="14">
        <v>0</v>
      </c>
      <c r="S154" s="14">
        <v>100</v>
      </c>
      <c r="T154" s="14" t="s">
        <v>252</v>
      </c>
      <c r="U154" s="5"/>
      <c r="V154" s="5"/>
      <c r="W154" s="14"/>
      <c r="X154" s="5"/>
    </row>
    <row r="155" spans="1:24" s="2" customFormat="1" ht="30" customHeight="1" x14ac:dyDescent="0.3">
      <c r="A155" s="15">
        <f t="shared" si="2"/>
        <v>152</v>
      </c>
      <c r="B155" s="15" t="s">
        <v>172</v>
      </c>
      <c r="C155" s="15" t="s">
        <v>506</v>
      </c>
      <c r="D155" s="15" t="s">
        <v>507</v>
      </c>
      <c r="E155" s="19" t="s">
        <v>508</v>
      </c>
      <c r="F155" s="15" t="s">
        <v>209</v>
      </c>
      <c r="G155" s="15" t="s">
        <v>219</v>
      </c>
      <c r="H155" s="15" t="s">
        <v>171</v>
      </c>
      <c r="I155" s="15" t="s">
        <v>29</v>
      </c>
      <c r="J155" s="15" t="s">
        <v>31</v>
      </c>
      <c r="K155" s="70" t="s">
        <v>245</v>
      </c>
      <c r="L155" s="70" t="s">
        <v>245</v>
      </c>
      <c r="M155" s="15" t="s">
        <v>241</v>
      </c>
      <c r="N155" s="15"/>
      <c r="O155" s="15"/>
      <c r="P155" s="15"/>
      <c r="Q155" s="15"/>
      <c r="R155" s="15"/>
      <c r="S155" s="15"/>
      <c r="T155" s="15"/>
      <c r="U155" s="19"/>
      <c r="V155" s="19"/>
      <c r="W155" s="15"/>
      <c r="X155" s="19"/>
    </row>
    <row r="156" spans="1:24" s="2" customFormat="1" ht="30" customHeight="1" x14ac:dyDescent="0.3">
      <c r="A156" s="15">
        <f t="shared" si="2"/>
        <v>153</v>
      </c>
      <c r="B156" s="15" t="s">
        <v>172</v>
      </c>
      <c r="C156" s="15" t="s">
        <v>509</v>
      </c>
      <c r="D156" s="15" t="s">
        <v>510</v>
      </c>
      <c r="E156" s="19" t="s">
        <v>511</v>
      </c>
      <c r="F156" s="15" t="s">
        <v>209</v>
      </c>
      <c r="G156" s="15" t="s">
        <v>219</v>
      </c>
      <c r="H156" s="15" t="s">
        <v>171</v>
      </c>
      <c r="I156" s="15" t="s">
        <v>29</v>
      </c>
      <c r="J156" s="15" t="s">
        <v>31</v>
      </c>
      <c r="K156" s="70" t="s">
        <v>245</v>
      </c>
      <c r="L156" s="70" t="s">
        <v>245</v>
      </c>
      <c r="M156" s="15" t="s">
        <v>240</v>
      </c>
      <c r="N156" s="15"/>
      <c r="O156" s="15"/>
      <c r="P156" s="15"/>
      <c r="Q156" s="15"/>
      <c r="R156" s="15"/>
      <c r="S156" s="15"/>
      <c r="T156" s="15"/>
      <c r="U156" s="19"/>
      <c r="V156" s="19"/>
      <c r="W156" s="15"/>
      <c r="X156" s="19"/>
    </row>
    <row r="157" spans="1:24" s="2" customFormat="1" ht="30" customHeight="1" x14ac:dyDescent="0.3">
      <c r="A157" s="15">
        <f t="shared" si="2"/>
        <v>154</v>
      </c>
      <c r="B157" s="15" t="s">
        <v>172</v>
      </c>
      <c r="C157" s="15" t="s">
        <v>512</v>
      </c>
      <c r="D157" s="15" t="s">
        <v>513</v>
      </c>
      <c r="E157" s="19" t="s">
        <v>244</v>
      </c>
      <c r="F157" s="15" t="s">
        <v>209</v>
      </c>
      <c r="G157" s="15" t="s">
        <v>219</v>
      </c>
      <c r="H157" s="15" t="s">
        <v>171</v>
      </c>
      <c r="I157" s="15" t="s">
        <v>29</v>
      </c>
      <c r="J157" s="15" t="s">
        <v>31</v>
      </c>
      <c r="K157" s="70" t="s">
        <v>245</v>
      </c>
      <c r="L157" s="15" t="s">
        <v>242</v>
      </c>
      <c r="M157" s="15" t="s">
        <v>243</v>
      </c>
      <c r="N157" s="15"/>
      <c r="O157" s="15"/>
      <c r="P157" s="15"/>
      <c r="Q157" s="15"/>
      <c r="R157" s="15"/>
      <c r="S157" s="15"/>
      <c r="T157" s="15"/>
      <c r="U157" s="19"/>
      <c r="V157" s="19"/>
      <c r="W157" s="15"/>
      <c r="X157" s="19"/>
    </row>
    <row r="158" spans="1:24" s="73" customFormat="1" ht="30" customHeight="1" x14ac:dyDescent="0.3">
      <c r="A158" s="71">
        <f t="shared" si="2"/>
        <v>155</v>
      </c>
      <c r="B158" s="71">
        <v>0</v>
      </c>
      <c r="C158" s="71" t="s">
        <v>1307</v>
      </c>
      <c r="D158" s="71" t="s">
        <v>1308</v>
      </c>
      <c r="E158" s="72" t="s">
        <v>1050</v>
      </c>
      <c r="F158" s="71" t="s">
        <v>1309</v>
      </c>
      <c r="G158" s="71" t="s">
        <v>1285</v>
      </c>
      <c r="H158" s="71" t="s">
        <v>171</v>
      </c>
      <c r="I158" s="71" t="s">
        <v>29</v>
      </c>
      <c r="J158" s="71" t="s">
        <v>31</v>
      </c>
      <c r="K158" s="75" t="s">
        <v>245</v>
      </c>
      <c r="L158" s="71" t="s">
        <v>1247</v>
      </c>
      <c r="M158" s="71" t="s">
        <v>1248</v>
      </c>
      <c r="N158" s="71"/>
      <c r="O158" s="71"/>
      <c r="P158" s="71"/>
      <c r="Q158" s="71"/>
      <c r="R158" s="71"/>
      <c r="S158" s="71"/>
      <c r="T158" s="71"/>
      <c r="U158" s="72"/>
      <c r="V158" s="72"/>
      <c r="W158" s="71"/>
      <c r="X158" s="72"/>
    </row>
    <row r="159" spans="1:24" s="2" customFormat="1" ht="30" customHeight="1" x14ac:dyDescent="0.3">
      <c r="A159" s="15">
        <f t="shared" si="2"/>
        <v>156</v>
      </c>
      <c r="B159" s="15" t="s">
        <v>172</v>
      </c>
      <c r="C159" s="15" t="s">
        <v>514</v>
      </c>
      <c r="D159" s="15" t="s">
        <v>209</v>
      </c>
      <c r="E159" s="19" t="s">
        <v>517</v>
      </c>
      <c r="F159" s="15" t="s">
        <v>209</v>
      </c>
      <c r="G159" s="15" t="s">
        <v>219</v>
      </c>
      <c r="H159" s="15" t="s">
        <v>171</v>
      </c>
      <c r="I159" s="15" t="s">
        <v>239</v>
      </c>
      <c r="J159" s="15" t="s">
        <v>31</v>
      </c>
      <c r="K159" s="70" t="s">
        <v>245</v>
      </c>
      <c r="L159" s="70" t="s">
        <v>245</v>
      </c>
      <c r="M159" s="15" t="s">
        <v>240</v>
      </c>
      <c r="N159" s="15"/>
      <c r="O159" s="15"/>
      <c r="P159" s="15"/>
      <c r="Q159" s="15"/>
      <c r="R159" s="15"/>
      <c r="S159" s="15"/>
      <c r="T159" s="15"/>
      <c r="U159" s="19"/>
      <c r="V159" s="19"/>
      <c r="W159" s="15"/>
      <c r="X159" s="19"/>
    </row>
    <row r="160" spans="1:24" s="2" customFormat="1" ht="30" customHeight="1" x14ac:dyDescent="0.3">
      <c r="A160" s="15">
        <f t="shared" si="2"/>
        <v>157</v>
      </c>
      <c r="B160" s="15" t="s">
        <v>172</v>
      </c>
      <c r="C160" s="15" t="s">
        <v>516</v>
      </c>
      <c r="D160" s="15" t="s">
        <v>209</v>
      </c>
      <c r="E160" s="19" t="s">
        <v>515</v>
      </c>
      <c r="F160" s="15" t="s">
        <v>209</v>
      </c>
      <c r="G160" s="15" t="s">
        <v>219</v>
      </c>
      <c r="H160" s="15" t="s">
        <v>171</v>
      </c>
      <c r="I160" s="15" t="s">
        <v>239</v>
      </c>
      <c r="J160" s="15" t="s">
        <v>31</v>
      </c>
      <c r="K160" s="70" t="s">
        <v>245</v>
      </c>
      <c r="L160" s="70" t="s">
        <v>245</v>
      </c>
      <c r="M160" s="15" t="s">
        <v>246</v>
      </c>
      <c r="N160" s="15"/>
      <c r="O160" s="15"/>
      <c r="P160" s="15"/>
      <c r="Q160" s="15"/>
      <c r="R160" s="15"/>
      <c r="S160" s="15"/>
      <c r="T160" s="15"/>
      <c r="U160" s="19"/>
      <c r="V160" s="19"/>
      <c r="W160" s="15"/>
      <c r="X160" s="19"/>
    </row>
    <row r="161" spans="1:24" s="2" customFormat="1" ht="30" customHeight="1" x14ac:dyDescent="0.3">
      <c r="A161" s="15">
        <f t="shared" si="2"/>
        <v>158</v>
      </c>
      <c r="B161" s="15" t="s">
        <v>172</v>
      </c>
      <c r="C161" s="15" t="s">
        <v>518</v>
      </c>
      <c r="D161" s="15" t="s">
        <v>519</v>
      </c>
      <c r="E161" s="19" t="s">
        <v>520</v>
      </c>
      <c r="F161" s="15" t="s">
        <v>210</v>
      </c>
      <c r="G161" s="15" t="s">
        <v>219</v>
      </c>
      <c r="H161" s="15" t="s">
        <v>171</v>
      </c>
      <c r="I161" s="15" t="s">
        <v>29</v>
      </c>
      <c r="J161" s="15" t="s">
        <v>31</v>
      </c>
      <c r="K161" s="70" t="s">
        <v>245</v>
      </c>
      <c r="L161" s="70" t="s">
        <v>245</v>
      </c>
      <c r="M161" s="15" t="s">
        <v>241</v>
      </c>
      <c r="N161" s="15"/>
      <c r="O161" s="15"/>
      <c r="P161" s="15"/>
      <c r="Q161" s="15"/>
      <c r="R161" s="15"/>
      <c r="S161" s="15"/>
      <c r="T161" s="15"/>
      <c r="U161" s="19"/>
      <c r="V161" s="19"/>
      <c r="W161" s="15"/>
      <c r="X161" s="19"/>
    </row>
    <row r="162" spans="1:24" s="2" customFormat="1" ht="30" customHeight="1" x14ac:dyDescent="0.3">
      <c r="A162" s="15">
        <f t="shared" si="2"/>
        <v>159</v>
      </c>
      <c r="B162" s="15" t="s">
        <v>172</v>
      </c>
      <c r="C162" s="15" t="s">
        <v>521</v>
      </c>
      <c r="D162" s="15" t="s">
        <v>522</v>
      </c>
      <c r="E162" s="19" t="s">
        <v>523</v>
      </c>
      <c r="F162" s="15" t="s">
        <v>210</v>
      </c>
      <c r="G162" s="15" t="s">
        <v>219</v>
      </c>
      <c r="H162" s="15" t="s">
        <v>171</v>
      </c>
      <c r="I162" s="15" t="s">
        <v>29</v>
      </c>
      <c r="J162" s="15" t="s">
        <v>31</v>
      </c>
      <c r="K162" s="70" t="s">
        <v>245</v>
      </c>
      <c r="L162" s="70" t="s">
        <v>245</v>
      </c>
      <c r="M162" s="15" t="s">
        <v>240</v>
      </c>
      <c r="N162" s="15"/>
      <c r="O162" s="15"/>
      <c r="P162" s="15"/>
      <c r="Q162" s="15"/>
      <c r="R162" s="15"/>
      <c r="S162" s="15"/>
      <c r="T162" s="15"/>
      <c r="U162" s="19"/>
      <c r="V162" s="19"/>
      <c r="W162" s="15"/>
      <c r="X162" s="19"/>
    </row>
    <row r="163" spans="1:24" s="2" customFormat="1" ht="30" customHeight="1" x14ac:dyDescent="0.3">
      <c r="A163" s="15">
        <f t="shared" si="2"/>
        <v>160</v>
      </c>
      <c r="B163" s="15" t="s">
        <v>172</v>
      </c>
      <c r="C163" s="15" t="s">
        <v>524</v>
      </c>
      <c r="D163" s="15" t="s">
        <v>525</v>
      </c>
      <c r="E163" s="19" t="s">
        <v>244</v>
      </c>
      <c r="F163" s="15" t="s">
        <v>210</v>
      </c>
      <c r="G163" s="15" t="s">
        <v>219</v>
      </c>
      <c r="H163" s="15" t="s">
        <v>171</v>
      </c>
      <c r="I163" s="15" t="s">
        <v>29</v>
      </c>
      <c r="J163" s="15" t="s">
        <v>31</v>
      </c>
      <c r="K163" s="70" t="s">
        <v>245</v>
      </c>
      <c r="L163" s="15" t="s">
        <v>242</v>
      </c>
      <c r="M163" s="15" t="s">
        <v>243</v>
      </c>
      <c r="N163" s="15"/>
      <c r="O163" s="15"/>
      <c r="P163" s="15"/>
      <c r="Q163" s="15"/>
      <c r="R163" s="15"/>
      <c r="S163" s="15"/>
      <c r="T163" s="15"/>
      <c r="U163" s="19"/>
      <c r="V163" s="19"/>
      <c r="W163" s="15"/>
      <c r="X163" s="19"/>
    </row>
    <row r="164" spans="1:24" s="73" customFormat="1" ht="30" customHeight="1" x14ac:dyDescent="0.3">
      <c r="A164" s="71">
        <f t="shared" si="2"/>
        <v>161</v>
      </c>
      <c r="B164" s="71">
        <v>0</v>
      </c>
      <c r="C164" s="71" t="s">
        <v>1310</v>
      </c>
      <c r="D164" s="71" t="s">
        <v>1311</v>
      </c>
      <c r="E164" s="72" t="s">
        <v>1050</v>
      </c>
      <c r="F164" s="71" t="s">
        <v>1312</v>
      </c>
      <c r="G164" s="71" t="s">
        <v>1285</v>
      </c>
      <c r="H164" s="71" t="s">
        <v>171</v>
      </c>
      <c r="I164" s="71" t="s">
        <v>29</v>
      </c>
      <c r="J164" s="71" t="s">
        <v>31</v>
      </c>
      <c r="K164" s="75" t="s">
        <v>245</v>
      </c>
      <c r="L164" s="71" t="s">
        <v>1247</v>
      </c>
      <c r="M164" s="71" t="s">
        <v>1248</v>
      </c>
      <c r="N164" s="71"/>
      <c r="O164" s="71"/>
      <c r="P164" s="71"/>
      <c r="Q164" s="71"/>
      <c r="R164" s="71"/>
      <c r="S164" s="71"/>
      <c r="T164" s="71"/>
      <c r="U164" s="72"/>
      <c r="V164" s="72"/>
      <c r="W164" s="71"/>
      <c r="X164" s="72"/>
    </row>
    <row r="165" spans="1:24" s="2" customFormat="1" ht="30" customHeight="1" x14ac:dyDescent="0.3">
      <c r="A165" s="15">
        <f t="shared" si="2"/>
        <v>162</v>
      </c>
      <c r="B165" s="15" t="s">
        <v>172</v>
      </c>
      <c r="C165" s="15" t="s">
        <v>526</v>
      </c>
      <c r="D165" s="15" t="s">
        <v>210</v>
      </c>
      <c r="E165" s="19" t="s">
        <v>529</v>
      </c>
      <c r="F165" s="15" t="s">
        <v>210</v>
      </c>
      <c r="G165" s="15" t="s">
        <v>219</v>
      </c>
      <c r="H165" s="15" t="s">
        <v>171</v>
      </c>
      <c r="I165" s="15" t="s">
        <v>239</v>
      </c>
      <c r="J165" s="15" t="s">
        <v>31</v>
      </c>
      <c r="K165" s="70" t="s">
        <v>245</v>
      </c>
      <c r="L165" s="70" t="s">
        <v>245</v>
      </c>
      <c r="M165" s="15" t="s">
        <v>240</v>
      </c>
      <c r="N165" s="15"/>
      <c r="O165" s="15"/>
      <c r="P165" s="15"/>
      <c r="Q165" s="15"/>
      <c r="R165" s="15"/>
      <c r="S165" s="15"/>
      <c r="T165" s="15"/>
      <c r="U165" s="19"/>
      <c r="V165" s="19"/>
      <c r="W165" s="15"/>
      <c r="X165" s="19"/>
    </row>
    <row r="166" spans="1:24" s="2" customFormat="1" ht="30" customHeight="1" x14ac:dyDescent="0.3">
      <c r="A166" s="15">
        <f t="shared" si="2"/>
        <v>163</v>
      </c>
      <c r="B166" s="15" t="s">
        <v>172</v>
      </c>
      <c r="C166" s="15" t="s">
        <v>528</v>
      </c>
      <c r="D166" s="15" t="s">
        <v>210</v>
      </c>
      <c r="E166" s="19" t="s">
        <v>527</v>
      </c>
      <c r="F166" s="15" t="s">
        <v>210</v>
      </c>
      <c r="G166" s="15" t="s">
        <v>219</v>
      </c>
      <c r="H166" s="15" t="s">
        <v>171</v>
      </c>
      <c r="I166" s="15" t="s">
        <v>239</v>
      </c>
      <c r="J166" s="15" t="s">
        <v>31</v>
      </c>
      <c r="K166" s="70" t="s">
        <v>245</v>
      </c>
      <c r="L166" s="70" t="s">
        <v>245</v>
      </c>
      <c r="M166" s="15" t="s">
        <v>246</v>
      </c>
      <c r="N166" s="15"/>
      <c r="O166" s="15"/>
      <c r="P166" s="15"/>
      <c r="Q166" s="15"/>
      <c r="R166" s="15"/>
      <c r="S166" s="15"/>
      <c r="T166" s="15"/>
      <c r="U166" s="19"/>
      <c r="V166" s="19"/>
      <c r="W166" s="15"/>
      <c r="X166" s="19"/>
    </row>
    <row r="167" spans="1:24" s="2" customFormat="1" ht="30" customHeight="1" x14ac:dyDescent="0.3">
      <c r="A167" s="15">
        <f t="shared" si="2"/>
        <v>164</v>
      </c>
      <c r="B167" s="15" t="s">
        <v>172</v>
      </c>
      <c r="C167" s="15" t="s">
        <v>530</v>
      </c>
      <c r="D167" s="15" t="s">
        <v>531</v>
      </c>
      <c r="E167" s="19" t="s">
        <v>532</v>
      </c>
      <c r="F167" s="15" t="s">
        <v>211</v>
      </c>
      <c r="G167" s="15" t="s">
        <v>219</v>
      </c>
      <c r="H167" s="15" t="s">
        <v>171</v>
      </c>
      <c r="I167" s="15" t="s">
        <v>29</v>
      </c>
      <c r="J167" s="15" t="s">
        <v>31</v>
      </c>
      <c r="K167" s="70" t="s">
        <v>245</v>
      </c>
      <c r="L167" s="70" t="s">
        <v>245</v>
      </c>
      <c r="M167" s="15" t="s">
        <v>241</v>
      </c>
      <c r="N167" s="15"/>
      <c r="O167" s="15"/>
      <c r="P167" s="15"/>
      <c r="Q167" s="15"/>
      <c r="R167" s="15"/>
      <c r="S167" s="15"/>
      <c r="T167" s="15"/>
      <c r="U167" s="19"/>
      <c r="V167" s="19"/>
      <c r="W167" s="15"/>
      <c r="X167" s="19"/>
    </row>
    <row r="168" spans="1:24" s="2" customFormat="1" ht="30" customHeight="1" x14ac:dyDescent="0.3">
      <c r="A168" s="15">
        <f t="shared" si="2"/>
        <v>165</v>
      </c>
      <c r="B168" s="15" t="s">
        <v>172</v>
      </c>
      <c r="C168" s="15" t="s">
        <v>533</v>
      </c>
      <c r="D168" s="15" t="s">
        <v>534</v>
      </c>
      <c r="E168" s="19" t="s">
        <v>535</v>
      </c>
      <c r="F168" s="15" t="s">
        <v>211</v>
      </c>
      <c r="G168" s="15" t="s">
        <v>219</v>
      </c>
      <c r="H168" s="15" t="s">
        <v>171</v>
      </c>
      <c r="I168" s="15" t="s">
        <v>29</v>
      </c>
      <c r="J168" s="15" t="s">
        <v>31</v>
      </c>
      <c r="K168" s="70" t="s">
        <v>245</v>
      </c>
      <c r="L168" s="70" t="s">
        <v>245</v>
      </c>
      <c r="M168" s="15" t="s">
        <v>240</v>
      </c>
      <c r="N168" s="15"/>
      <c r="O168" s="15"/>
      <c r="P168" s="15"/>
      <c r="Q168" s="15"/>
      <c r="R168" s="15"/>
      <c r="S168" s="15"/>
      <c r="T168" s="15"/>
      <c r="U168" s="19"/>
      <c r="V168" s="19"/>
      <c r="W168" s="15"/>
      <c r="X168" s="19"/>
    </row>
    <row r="169" spans="1:24" s="2" customFormat="1" ht="30" customHeight="1" x14ac:dyDescent="0.3">
      <c r="A169" s="15">
        <f t="shared" si="2"/>
        <v>166</v>
      </c>
      <c r="B169" s="15" t="s">
        <v>172</v>
      </c>
      <c r="C169" s="15" t="s">
        <v>536</v>
      </c>
      <c r="D169" s="15" t="s">
        <v>537</v>
      </c>
      <c r="E169" s="19" t="s">
        <v>244</v>
      </c>
      <c r="F169" s="15" t="s">
        <v>211</v>
      </c>
      <c r="G169" s="15" t="s">
        <v>219</v>
      </c>
      <c r="H169" s="15" t="s">
        <v>171</v>
      </c>
      <c r="I169" s="15" t="s">
        <v>29</v>
      </c>
      <c r="J169" s="15" t="s">
        <v>31</v>
      </c>
      <c r="K169" s="70" t="s">
        <v>245</v>
      </c>
      <c r="L169" s="15" t="s">
        <v>242</v>
      </c>
      <c r="M169" s="15" t="s">
        <v>243</v>
      </c>
      <c r="N169" s="15"/>
      <c r="O169" s="15"/>
      <c r="P169" s="15"/>
      <c r="Q169" s="15"/>
      <c r="R169" s="15"/>
      <c r="S169" s="15"/>
      <c r="T169" s="15"/>
      <c r="U169" s="19"/>
      <c r="V169" s="19"/>
      <c r="W169" s="15"/>
      <c r="X169" s="19"/>
    </row>
    <row r="170" spans="1:24" s="73" customFormat="1" ht="30" customHeight="1" x14ac:dyDescent="0.3">
      <c r="A170" s="71">
        <f t="shared" si="2"/>
        <v>167</v>
      </c>
      <c r="B170" s="71">
        <v>0</v>
      </c>
      <c r="C170" s="71" t="s">
        <v>1314</v>
      </c>
      <c r="D170" s="71" t="s">
        <v>1313</v>
      </c>
      <c r="E170" s="72" t="s">
        <v>1050</v>
      </c>
      <c r="F170" s="71" t="s">
        <v>1315</v>
      </c>
      <c r="G170" s="71" t="s">
        <v>1285</v>
      </c>
      <c r="H170" s="71" t="s">
        <v>171</v>
      </c>
      <c r="I170" s="71" t="s">
        <v>29</v>
      </c>
      <c r="J170" s="71" t="s">
        <v>31</v>
      </c>
      <c r="K170" s="75" t="s">
        <v>245</v>
      </c>
      <c r="L170" s="71" t="s">
        <v>1247</v>
      </c>
      <c r="M170" s="71" t="s">
        <v>1248</v>
      </c>
      <c r="N170" s="71"/>
      <c r="O170" s="71"/>
      <c r="P170" s="71"/>
      <c r="Q170" s="71"/>
      <c r="R170" s="71"/>
      <c r="S170" s="71"/>
      <c r="T170" s="71"/>
      <c r="U170" s="72"/>
      <c r="V170" s="72"/>
      <c r="W170" s="71"/>
      <c r="X170" s="72"/>
    </row>
    <row r="171" spans="1:24" s="2" customFormat="1" ht="30" customHeight="1" x14ac:dyDescent="0.3">
      <c r="A171" s="15">
        <f t="shared" si="2"/>
        <v>168</v>
      </c>
      <c r="B171" s="15" t="s">
        <v>172</v>
      </c>
      <c r="C171" s="15" t="s">
        <v>538</v>
      </c>
      <c r="D171" s="15" t="s">
        <v>211</v>
      </c>
      <c r="E171" s="19" t="s">
        <v>541</v>
      </c>
      <c r="F171" s="15" t="s">
        <v>211</v>
      </c>
      <c r="G171" s="15" t="s">
        <v>219</v>
      </c>
      <c r="H171" s="15" t="s">
        <v>171</v>
      </c>
      <c r="I171" s="15" t="s">
        <v>239</v>
      </c>
      <c r="J171" s="15" t="s">
        <v>31</v>
      </c>
      <c r="K171" s="70" t="s">
        <v>245</v>
      </c>
      <c r="L171" s="70" t="s">
        <v>245</v>
      </c>
      <c r="M171" s="15" t="s">
        <v>240</v>
      </c>
      <c r="N171" s="15"/>
      <c r="O171" s="15"/>
      <c r="P171" s="15"/>
      <c r="Q171" s="15"/>
      <c r="R171" s="15"/>
      <c r="S171" s="15"/>
      <c r="T171" s="15"/>
      <c r="U171" s="19"/>
      <c r="V171" s="19"/>
      <c r="W171" s="15"/>
      <c r="X171" s="19"/>
    </row>
    <row r="172" spans="1:24" s="2" customFormat="1" ht="30" customHeight="1" x14ac:dyDescent="0.3">
      <c r="A172" s="15">
        <f t="shared" si="2"/>
        <v>169</v>
      </c>
      <c r="B172" s="15" t="s">
        <v>172</v>
      </c>
      <c r="C172" s="15" t="s">
        <v>540</v>
      </c>
      <c r="D172" s="15" t="s">
        <v>211</v>
      </c>
      <c r="E172" s="19" t="s">
        <v>539</v>
      </c>
      <c r="F172" s="15" t="s">
        <v>211</v>
      </c>
      <c r="G172" s="15" t="s">
        <v>219</v>
      </c>
      <c r="H172" s="15" t="s">
        <v>171</v>
      </c>
      <c r="I172" s="15" t="s">
        <v>239</v>
      </c>
      <c r="J172" s="15" t="s">
        <v>31</v>
      </c>
      <c r="K172" s="70" t="s">
        <v>245</v>
      </c>
      <c r="L172" s="70" t="s">
        <v>245</v>
      </c>
      <c r="M172" s="15" t="s">
        <v>246</v>
      </c>
      <c r="N172" s="15"/>
      <c r="O172" s="15"/>
      <c r="P172" s="15"/>
      <c r="Q172" s="15"/>
      <c r="R172" s="15"/>
      <c r="S172" s="15"/>
      <c r="T172" s="15"/>
      <c r="U172" s="19"/>
      <c r="V172" s="19"/>
      <c r="W172" s="15"/>
      <c r="X172" s="19"/>
    </row>
    <row r="173" spans="1:24" s="3" customFormat="1" ht="30" customHeight="1" x14ac:dyDescent="0.3">
      <c r="A173" s="14">
        <f t="shared" si="2"/>
        <v>170</v>
      </c>
      <c r="B173" s="15" t="s">
        <v>172</v>
      </c>
      <c r="C173" s="15" t="s">
        <v>542</v>
      </c>
      <c r="D173" s="15" t="s">
        <v>543</v>
      </c>
      <c r="E173" s="19" t="s">
        <v>710</v>
      </c>
      <c r="F173" s="15" t="s">
        <v>211</v>
      </c>
      <c r="G173" s="15" t="s">
        <v>219</v>
      </c>
      <c r="H173" s="14" t="s">
        <v>171</v>
      </c>
      <c r="I173" s="14" t="s">
        <v>25</v>
      </c>
      <c r="J173" s="14" t="s">
        <v>30</v>
      </c>
      <c r="K173" s="14" t="s">
        <v>163</v>
      </c>
      <c r="L173" s="14" t="s">
        <v>163</v>
      </c>
      <c r="M173" s="14" t="s">
        <v>163</v>
      </c>
      <c r="N173" s="14"/>
      <c r="O173" s="14"/>
      <c r="P173" s="14"/>
      <c r="Q173" s="14"/>
      <c r="R173" s="14">
        <v>0</v>
      </c>
      <c r="S173" s="14">
        <v>100</v>
      </c>
      <c r="T173" s="14" t="s">
        <v>252</v>
      </c>
      <c r="U173" s="5"/>
      <c r="V173" s="5"/>
      <c r="W173" s="14"/>
      <c r="X173" s="5"/>
    </row>
    <row r="174" spans="1:24" s="2" customFormat="1" ht="30" customHeight="1" x14ac:dyDescent="0.3">
      <c r="A174" s="15">
        <f t="shared" si="2"/>
        <v>171</v>
      </c>
      <c r="B174" s="15" t="s">
        <v>172</v>
      </c>
      <c r="C174" s="15" t="s">
        <v>544</v>
      </c>
      <c r="D174" s="15" t="s">
        <v>545</v>
      </c>
      <c r="E174" s="19" t="s">
        <v>546</v>
      </c>
      <c r="F174" s="15" t="s">
        <v>212</v>
      </c>
      <c r="G174" s="15" t="s">
        <v>219</v>
      </c>
      <c r="H174" s="15" t="s">
        <v>171</v>
      </c>
      <c r="I174" s="15" t="s">
        <v>29</v>
      </c>
      <c r="J174" s="15" t="s">
        <v>31</v>
      </c>
      <c r="K174" s="70" t="s">
        <v>245</v>
      </c>
      <c r="L174" s="70" t="s">
        <v>245</v>
      </c>
      <c r="M174" s="15" t="s">
        <v>241</v>
      </c>
      <c r="N174" s="15"/>
      <c r="O174" s="15"/>
      <c r="P174" s="15"/>
      <c r="Q174" s="15"/>
      <c r="R174" s="15"/>
      <c r="S174" s="15"/>
      <c r="T174" s="15"/>
      <c r="U174" s="19"/>
      <c r="V174" s="19"/>
      <c r="W174" s="15"/>
      <c r="X174" s="19"/>
    </row>
    <row r="175" spans="1:24" s="2" customFormat="1" ht="30" customHeight="1" x14ac:dyDescent="0.3">
      <c r="A175" s="15">
        <f t="shared" si="2"/>
        <v>172</v>
      </c>
      <c r="B175" s="15" t="s">
        <v>172</v>
      </c>
      <c r="C175" s="15" t="s">
        <v>547</v>
      </c>
      <c r="D175" s="15" t="s">
        <v>548</v>
      </c>
      <c r="E175" s="19" t="s">
        <v>549</v>
      </c>
      <c r="F175" s="15" t="s">
        <v>212</v>
      </c>
      <c r="G175" s="15" t="s">
        <v>219</v>
      </c>
      <c r="H175" s="15" t="s">
        <v>171</v>
      </c>
      <c r="I175" s="15" t="s">
        <v>29</v>
      </c>
      <c r="J175" s="15" t="s">
        <v>31</v>
      </c>
      <c r="K175" s="70" t="s">
        <v>245</v>
      </c>
      <c r="L175" s="70" t="s">
        <v>245</v>
      </c>
      <c r="M175" s="15" t="s">
        <v>240</v>
      </c>
      <c r="N175" s="15"/>
      <c r="O175" s="15"/>
      <c r="P175" s="15"/>
      <c r="Q175" s="15"/>
      <c r="R175" s="15"/>
      <c r="S175" s="15"/>
      <c r="T175" s="15"/>
      <c r="U175" s="19"/>
      <c r="V175" s="19"/>
      <c r="W175" s="15"/>
      <c r="X175" s="19"/>
    </row>
    <row r="176" spans="1:24" s="2" customFormat="1" ht="30" customHeight="1" x14ac:dyDescent="0.3">
      <c r="A176" s="15">
        <f t="shared" si="2"/>
        <v>173</v>
      </c>
      <c r="B176" s="15" t="s">
        <v>172</v>
      </c>
      <c r="C176" s="15" t="s">
        <v>550</v>
      </c>
      <c r="D176" s="15" t="s">
        <v>551</v>
      </c>
      <c r="E176" s="19" t="s">
        <v>244</v>
      </c>
      <c r="F176" s="15" t="s">
        <v>212</v>
      </c>
      <c r="G176" s="15" t="s">
        <v>219</v>
      </c>
      <c r="H176" s="15" t="s">
        <v>171</v>
      </c>
      <c r="I176" s="15" t="s">
        <v>29</v>
      </c>
      <c r="J176" s="15" t="s">
        <v>31</v>
      </c>
      <c r="K176" s="70" t="s">
        <v>245</v>
      </c>
      <c r="L176" s="15" t="s">
        <v>242</v>
      </c>
      <c r="M176" s="15" t="s">
        <v>243</v>
      </c>
      <c r="N176" s="15"/>
      <c r="O176" s="15"/>
      <c r="P176" s="15"/>
      <c r="Q176" s="15"/>
      <c r="R176" s="15"/>
      <c r="S176" s="15"/>
      <c r="T176" s="15"/>
      <c r="U176" s="19"/>
      <c r="V176" s="19"/>
      <c r="W176" s="15"/>
      <c r="X176" s="19"/>
    </row>
    <row r="177" spans="1:24" s="73" customFormat="1" ht="30" customHeight="1" x14ac:dyDescent="0.3">
      <c r="A177" s="71">
        <f t="shared" si="2"/>
        <v>174</v>
      </c>
      <c r="B177" s="71">
        <v>0</v>
      </c>
      <c r="C177" s="71" t="s">
        <v>1316</v>
      </c>
      <c r="D177" s="71" t="s">
        <v>1317</v>
      </c>
      <c r="E177" s="72" t="s">
        <v>1050</v>
      </c>
      <c r="F177" s="71" t="s">
        <v>1318</v>
      </c>
      <c r="G177" s="71" t="s">
        <v>1285</v>
      </c>
      <c r="H177" s="71" t="s">
        <v>171</v>
      </c>
      <c r="I177" s="71" t="s">
        <v>29</v>
      </c>
      <c r="J177" s="71" t="s">
        <v>31</v>
      </c>
      <c r="K177" s="75" t="s">
        <v>245</v>
      </c>
      <c r="L177" s="71" t="s">
        <v>1247</v>
      </c>
      <c r="M177" s="71" t="s">
        <v>1248</v>
      </c>
      <c r="N177" s="71"/>
      <c r="O177" s="71"/>
      <c r="P177" s="71"/>
      <c r="Q177" s="71"/>
      <c r="R177" s="71"/>
      <c r="S177" s="71"/>
      <c r="T177" s="71"/>
      <c r="U177" s="72"/>
      <c r="V177" s="72"/>
      <c r="W177" s="71"/>
      <c r="X177" s="72"/>
    </row>
    <row r="178" spans="1:24" s="2" customFormat="1" ht="30" customHeight="1" x14ac:dyDescent="0.3">
      <c r="A178" s="15">
        <f t="shared" si="2"/>
        <v>175</v>
      </c>
      <c r="B178" s="15" t="s">
        <v>172</v>
      </c>
      <c r="C178" s="15" t="s">
        <v>552</v>
      </c>
      <c r="D178" s="15" t="s">
        <v>212</v>
      </c>
      <c r="E178" s="19" t="s">
        <v>555</v>
      </c>
      <c r="F178" s="15" t="s">
        <v>212</v>
      </c>
      <c r="G178" s="15" t="s">
        <v>219</v>
      </c>
      <c r="H178" s="15" t="s">
        <v>171</v>
      </c>
      <c r="I178" s="15" t="s">
        <v>239</v>
      </c>
      <c r="J178" s="15" t="s">
        <v>31</v>
      </c>
      <c r="K178" s="70" t="s">
        <v>245</v>
      </c>
      <c r="L178" s="70" t="s">
        <v>245</v>
      </c>
      <c r="M178" s="15" t="s">
        <v>240</v>
      </c>
      <c r="N178" s="15"/>
      <c r="O178" s="15"/>
      <c r="P178" s="15"/>
      <c r="Q178" s="15"/>
      <c r="R178" s="15"/>
      <c r="S178" s="15"/>
      <c r="T178" s="15"/>
      <c r="U178" s="19"/>
      <c r="V178" s="19"/>
      <c r="W178" s="15"/>
      <c r="X178" s="19"/>
    </row>
    <row r="179" spans="1:24" s="2" customFormat="1" ht="30" customHeight="1" x14ac:dyDescent="0.3">
      <c r="A179" s="15">
        <f t="shared" si="2"/>
        <v>176</v>
      </c>
      <c r="B179" s="15" t="s">
        <v>172</v>
      </c>
      <c r="C179" s="15" t="s">
        <v>554</v>
      </c>
      <c r="D179" s="15" t="s">
        <v>212</v>
      </c>
      <c r="E179" s="19" t="s">
        <v>553</v>
      </c>
      <c r="F179" s="15" t="s">
        <v>212</v>
      </c>
      <c r="G179" s="15" t="s">
        <v>219</v>
      </c>
      <c r="H179" s="15" t="s">
        <v>171</v>
      </c>
      <c r="I179" s="15" t="s">
        <v>239</v>
      </c>
      <c r="J179" s="15" t="s">
        <v>31</v>
      </c>
      <c r="K179" s="70" t="s">
        <v>245</v>
      </c>
      <c r="L179" s="70" t="s">
        <v>245</v>
      </c>
      <c r="M179" s="15" t="s">
        <v>246</v>
      </c>
      <c r="N179" s="15"/>
      <c r="O179" s="15"/>
      <c r="P179" s="15"/>
      <c r="Q179" s="15"/>
      <c r="R179" s="15"/>
      <c r="S179" s="15"/>
      <c r="T179" s="15"/>
      <c r="U179" s="19"/>
      <c r="V179" s="19"/>
      <c r="W179" s="15"/>
      <c r="X179" s="19"/>
    </row>
    <row r="180" spans="1:24" s="3" customFormat="1" ht="30" customHeight="1" x14ac:dyDescent="0.3">
      <c r="A180" s="14"/>
      <c r="B180" s="15"/>
      <c r="C180" s="15"/>
      <c r="D180" s="15"/>
      <c r="E180" s="19"/>
      <c r="F180" s="15"/>
      <c r="G180" s="19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5"/>
      <c r="V180" s="5"/>
      <c r="W180" s="14"/>
      <c r="X180" s="5"/>
    </row>
    <row r="181" spans="1:24" s="3" customFormat="1" ht="30" customHeight="1" x14ac:dyDescent="0.3">
      <c r="A181" s="14"/>
      <c r="B181" s="15"/>
      <c r="C181" s="15"/>
      <c r="D181" s="15"/>
      <c r="E181" s="19"/>
      <c r="F181" s="15"/>
      <c r="G181" s="19"/>
      <c r="H181" s="14"/>
      <c r="I181" s="14">
        <f>COUNTIF(I2:I179,"AO")</f>
        <v>0</v>
      </c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5"/>
      <c r="V181" s="5"/>
      <c r="W181" s="14"/>
      <c r="X181" s="5"/>
    </row>
    <row r="182" spans="1:24" s="3" customFormat="1" ht="30" customHeight="1" x14ac:dyDescent="0.3">
      <c r="B182" s="2"/>
      <c r="C182" s="2"/>
      <c r="E182" s="4"/>
      <c r="G182" s="2"/>
      <c r="H182" s="4"/>
      <c r="U182" s="4"/>
      <c r="V182" s="4"/>
      <c r="X182" s="4"/>
    </row>
    <row r="183" spans="1:24" s="3" customFormat="1" ht="30" customHeight="1" x14ac:dyDescent="0.3">
      <c r="B183" s="2"/>
      <c r="C183" s="2"/>
      <c r="E183" s="4"/>
      <c r="G183" s="2"/>
      <c r="H183" s="4"/>
      <c r="U183" s="4"/>
      <c r="V183" s="4"/>
      <c r="X183" s="4"/>
    </row>
    <row r="184" spans="1:24" s="3" customFormat="1" ht="30" customHeight="1" x14ac:dyDescent="0.3">
      <c r="B184" s="2"/>
      <c r="C184" s="2"/>
      <c r="E184" s="4"/>
      <c r="G184" s="2"/>
      <c r="H184" s="4"/>
      <c r="U184" s="4"/>
      <c r="V184" s="4"/>
      <c r="X184" s="4"/>
    </row>
    <row r="185" spans="1:24" s="3" customFormat="1" ht="30" customHeight="1" x14ac:dyDescent="0.3">
      <c r="B185" s="2"/>
      <c r="C185" s="2"/>
      <c r="E185" s="4"/>
      <c r="G185" s="2"/>
      <c r="H185" s="4"/>
      <c r="U185" s="4"/>
      <c r="V185" s="4"/>
      <c r="X185" s="4"/>
    </row>
    <row r="186" spans="1:24" s="3" customFormat="1" ht="30" customHeight="1" x14ac:dyDescent="0.3">
      <c r="B186" s="2"/>
      <c r="C186" s="2"/>
      <c r="E186" s="4"/>
      <c r="G186" s="2"/>
      <c r="H186" s="4"/>
      <c r="U186" s="4"/>
      <c r="V186" s="4"/>
      <c r="X186" s="4"/>
    </row>
    <row r="187" spans="1:24" s="3" customFormat="1" ht="30" customHeight="1" x14ac:dyDescent="0.3">
      <c r="B187" s="2"/>
      <c r="C187" s="2"/>
      <c r="E187" s="4"/>
      <c r="G187" s="2"/>
      <c r="H187" s="4"/>
      <c r="U187" s="4"/>
      <c r="V187" s="4"/>
      <c r="X187" s="4"/>
    </row>
    <row r="188" spans="1:24" s="3" customFormat="1" ht="30" customHeight="1" x14ac:dyDescent="0.3">
      <c r="B188" s="2"/>
      <c r="C188" s="2"/>
      <c r="E188" s="4"/>
      <c r="G188" s="2"/>
      <c r="H188" s="4"/>
      <c r="U188" s="4"/>
      <c r="V188" s="4"/>
      <c r="X188" s="4"/>
    </row>
    <row r="189" spans="1:24" s="3" customFormat="1" ht="30" customHeight="1" x14ac:dyDescent="0.3">
      <c r="B189" s="2"/>
      <c r="C189" s="2"/>
      <c r="E189" s="4"/>
      <c r="G189" s="2"/>
      <c r="H189" s="4"/>
      <c r="U189" s="4"/>
      <c r="V189" s="4"/>
      <c r="X189" s="4"/>
    </row>
    <row r="190" spans="1:24" s="3" customFormat="1" ht="30" customHeight="1" x14ac:dyDescent="0.3">
      <c r="B190" s="2"/>
      <c r="C190" s="2"/>
      <c r="E190" s="4"/>
      <c r="G190" s="2"/>
      <c r="H190" s="4"/>
      <c r="U190" s="4"/>
      <c r="V190" s="4"/>
      <c r="X190" s="4"/>
    </row>
    <row r="191" spans="1:24" s="3" customFormat="1" ht="30" customHeight="1" x14ac:dyDescent="0.3">
      <c r="B191" s="2"/>
      <c r="C191" s="2"/>
      <c r="E191" s="4"/>
      <c r="G191" s="2"/>
      <c r="H191" s="4"/>
      <c r="U191" s="4"/>
      <c r="V191" s="4"/>
      <c r="X191" s="4"/>
    </row>
    <row r="192" spans="1:24" s="3" customFormat="1" ht="30" customHeight="1" x14ac:dyDescent="0.3">
      <c r="B192" s="2"/>
      <c r="C192" s="2"/>
      <c r="E192" s="4"/>
      <c r="G192" s="2"/>
      <c r="H192" s="4"/>
      <c r="U192" s="4"/>
      <c r="V192" s="4"/>
      <c r="X192" s="4"/>
    </row>
    <row r="193" spans="2:24" s="3" customFormat="1" ht="30" customHeight="1" x14ac:dyDescent="0.3">
      <c r="B193" s="2"/>
      <c r="C193" s="2"/>
      <c r="E193" s="4"/>
      <c r="G193" s="2"/>
      <c r="H193" s="4"/>
      <c r="U193" s="4"/>
      <c r="V193" s="4"/>
      <c r="X193" s="4"/>
    </row>
    <row r="194" spans="2:24" s="3" customFormat="1" ht="30" customHeight="1" x14ac:dyDescent="0.3">
      <c r="B194" s="2"/>
      <c r="C194" s="2"/>
      <c r="E194" s="4"/>
      <c r="G194" s="2"/>
      <c r="H194" s="4"/>
      <c r="U194" s="4"/>
      <c r="V194" s="4"/>
      <c r="X194" s="4"/>
    </row>
    <row r="195" spans="2:24" s="3" customFormat="1" ht="30" customHeight="1" x14ac:dyDescent="0.3">
      <c r="B195" s="2"/>
      <c r="C195" s="2"/>
      <c r="E195" s="4"/>
      <c r="G195" s="2"/>
      <c r="H195" s="4"/>
      <c r="U195" s="4"/>
      <c r="V195" s="4"/>
      <c r="X195" s="4"/>
    </row>
    <row r="196" spans="2:24" s="3" customFormat="1" ht="30" customHeight="1" x14ac:dyDescent="0.3">
      <c r="B196" s="2"/>
      <c r="C196" s="2"/>
      <c r="E196" s="4"/>
      <c r="G196" s="2"/>
      <c r="H196" s="4"/>
      <c r="U196" s="4"/>
      <c r="V196" s="4"/>
      <c r="X196" s="4"/>
    </row>
    <row r="197" spans="2:24" s="3" customFormat="1" ht="30" customHeight="1" x14ac:dyDescent="0.3">
      <c r="B197" s="2"/>
      <c r="C197" s="2"/>
      <c r="E197" s="4"/>
      <c r="G197" s="2"/>
      <c r="H197" s="4"/>
      <c r="U197" s="4"/>
      <c r="V197" s="4"/>
      <c r="X197" s="4"/>
    </row>
    <row r="198" spans="2:24" s="3" customFormat="1" ht="30" customHeight="1" x14ac:dyDescent="0.3">
      <c r="B198" s="2"/>
      <c r="C198" s="2"/>
      <c r="E198" s="4"/>
      <c r="G198" s="2"/>
      <c r="H198" s="4"/>
      <c r="U198" s="4"/>
      <c r="V198" s="4"/>
      <c r="X198" s="4"/>
    </row>
    <row r="199" spans="2:24" s="3" customFormat="1" ht="30" customHeight="1" x14ac:dyDescent="0.3">
      <c r="B199" s="2"/>
      <c r="C199" s="2"/>
      <c r="E199" s="4"/>
      <c r="G199" s="2"/>
      <c r="H199" s="4"/>
      <c r="U199" s="4"/>
      <c r="V199" s="4"/>
      <c r="X199" s="4"/>
    </row>
    <row r="200" spans="2:24" s="3" customFormat="1" ht="30" customHeight="1" x14ac:dyDescent="0.3">
      <c r="B200" s="2"/>
      <c r="C200" s="2"/>
      <c r="E200" s="4"/>
      <c r="G200" s="2"/>
      <c r="H200" s="4"/>
      <c r="U200" s="4"/>
      <c r="V200" s="4"/>
      <c r="X200" s="4"/>
    </row>
    <row r="201" spans="2:24" s="3" customFormat="1" ht="30" customHeight="1" x14ac:dyDescent="0.3">
      <c r="B201" s="2"/>
      <c r="C201" s="2"/>
      <c r="E201" s="4"/>
      <c r="G201" s="2"/>
      <c r="H201" s="4"/>
      <c r="U201" s="4"/>
      <c r="V201" s="4"/>
      <c r="X201" s="4"/>
    </row>
    <row r="202" spans="2:24" s="3" customFormat="1" ht="30" customHeight="1" x14ac:dyDescent="0.3">
      <c r="B202" s="2"/>
      <c r="C202" s="2"/>
      <c r="E202" s="4"/>
      <c r="G202" s="2"/>
      <c r="H202" s="4"/>
      <c r="U202" s="4"/>
      <c r="V202" s="4"/>
      <c r="X202" s="4"/>
    </row>
    <row r="203" spans="2:24" s="3" customFormat="1" ht="30" customHeight="1" x14ac:dyDescent="0.3">
      <c r="B203" s="2"/>
      <c r="C203" s="2"/>
      <c r="E203" s="4"/>
      <c r="G203" s="2"/>
      <c r="H203" s="4"/>
      <c r="U203" s="4"/>
      <c r="V203" s="4"/>
      <c r="X203" s="4"/>
    </row>
    <row r="204" spans="2:24" s="3" customFormat="1" ht="30" customHeight="1" x14ac:dyDescent="0.3">
      <c r="B204" s="2"/>
      <c r="C204" s="2"/>
      <c r="E204" s="4"/>
      <c r="G204" s="4"/>
      <c r="H204" s="2"/>
      <c r="U204" s="4"/>
      <c r="V204" s="4"/>
      <c r="X204" s="4"/>
    </row>
    <row r="205" spans="2:24" s="3" customFormat="1" ht="30" customHeight="1" x14ac:dyDescent="0.3">
      <c r="B205" s="2"/>
      <c r="C205" s="2"/>
      <c r="E205" s="4"/>
      <c r="G205" s="4"/>
      <c r="H205" s="2"/>
      <c r="U205" s="4"/>
      <c r="V205" s="4"/>
      <c r="X205" s="4"/>
    </row>
    <row r="206" spans="2:24" s="3" customFormat="1" ht="30" customHeight="1" x14ac:dyDescent="0.3">
      <c r="B206" s="2"/>
      <c r="C206" s="2"/>
      <c r="E206" s="4"/>
      <c r="G206" s="4"/>
      <c r="H206" s="2"/>
      <c r="U206" s="4"/>
      <c r="V206" s="4"/>
      <c r="X206" s="4"/>
    </row>
    <row r="207" spans="2:24" s="3" customFormat="1" ht="30" customHeight="1" x14ac:dyDescent="0.3">
      <c r="B207" s="2"/>
      <c r="C207" s="2"/>
      <c r="E207" s="4"/>
      <c r="G207" s="4"/>
      <c r="H207" s="2"/>
      <c r="U207" s="4"/>
      <c r="V207" s="4"/>
      <c r="X207" s="4"/>
    </row>
    <row r="208" spans="2:24" s="3" customFormat="1" ht="30" customHeight="1" x14ac:dyDescent="0.3">
      <c r="B208" s="2"/>
      <c r="C208" s="2"/>
      <c r="E208" s="4"/>
      <c r="G208" s="4"/>
      <c r="H208" s="2"/>
      <c r="U208" s="4"/>
      <c r="V208" s="4"/>
      <c r="X208" s="4"/>
    </row>
    <row r="209" spans="2:24" s="3" customFormat="1" ht="30" customHeight="1" x14ac:dyDescent="0.3">
      <c r="B209" s="2"/>
      <c r="C209" s="2"/>
      <c r="E209" s="4"/>
      <c r="G209" s="4"/>
      <c r="H209" s="2"/>
      <c r="U209" s="4"/>
      <c r="V209" s="4"/>
      <c r="X209" s="4"/>
    </row>
  </sheetData>
  <autoFilter ref="A3:Z209" xr:uid="{F56D1C5C-316D-4C1E-ACF4-D54CD57FC5B6}"/>
  <mergeCells count="20">
    <mergeCell ref="F1:F2"/>
    <mergeCell ref="A1:A2"/>
    <mergeCell ref="B1:B2"/>
    <mergeCell ref="C1:C2"/>
    <mergeCell ref="D1:D2"/>
    <mergeCell ref="E1:E2"/>
    <mergeCell ref="G1:G2"/>
    <mergeCell ref="H1:H2"/>
    <mergeCell ref="I1:I2"/>
    <mergeCell ref="J1:J2"/>
    <mergeCell ref="L1:L2"/>
    <mergeCell ref="X1:X2"/>
    <mergeCell ref="K1:K2"/>
    <mergeCell ref="N1:Q1"/>
    <mergeCell ref="R1:S1"/>
    <mergeCell ref="T1:T2"/>
    <mergeCell ref="U1:U2"/>
    <mergeCell ref="V1:V2"/>
    <mergeCell ref="W1:W2"/>
    <mergeCell ref="M1:M2"/>
  </mergeCells>
  <phoneticPr fontId="8" type="noConversion"/>
  <pageMargins left="0.70866141732283472" right="0.51181102362204722" top="0.55118110236220474" bottom="0.55118110236220474" header="0.31496062992125984" footer="0.31496062992125984"/>
  <pageSetup paperSize="8" scale="80" fitToHeight="0" orientation="landscape" r:id="rId1"/>
  <headerFooter>
    <oddFooter>&amp;R&amp;10PAGE &amp;P OF &amp;N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DDA6-BD0E-418A-A6EA-F4E24B374693}">
  <sheetPr>
    <pageSetUpPr fitToPage="1"/>
  </sheetPr>
  <dimension ref="A1:Z91"/>
  <sheetViews>
    <sheetView view="pageBreakPreview" zoomScaleNormal="115" zoomScaleSheetLayoutView="100" workbookViewId="0">
      <pane xSplit="3" ySplit="3" topLeftCell="D49" activePane="bottomRight" state="frozen"/>
      <selection activeCell="O38" sqref="O38"/>
      <selection pane="topRight" activeCell="O38" sqref="O38"/>
      <selection pane="bottomLeft" activeCell="O38" sqref="O38"/>
      <selection pane="bottomRight" activeCell="N21" sqref="N21"/>
    </sheetView>
  </sheetViews>
  <sheetFormatPr defaultColWidth="9.08203125" defaultRowHeight="30" customHeight="1" x14ac:dyDescent="0.3"/>
  <cols>
    <col min="1" max="1" width="5.75" style="3" customWidth="1"/>
    <col min="2" max="2" width="8.33203125" style="2" customWidth="1"/>
    <col min="3" max="3" width="13" style="2" customWidth="1"/>
    <col min="4" max="4" width="12.08203125" style="3" customWidth="1"/>
    <col min="5" max="5" width="22.75" style="24" customWidth="1"/>
    <col min="6" max="6" width="9.33203125" style="4" customWidth="1"/>
    <col min="7" max="7" width="15.58203125" style="4" customWidth="1"/>
    <col min="8" max="8" width="9.25" style="2" customWidth="1"/>
    <col min="9" max="9" width="9.08203125" style="3"/>
    <col min="10" max="10" width="10.83203125" style="3" customWidth="1"/>
    <col min="11" max="11" width="12.33203125" style="3" customWidth="1"/>
    <col min="12" max="13" width="9.08203125" style="3"/>
    <col min="14" max="20" width="7.58203125" style="3" customWidth="1"/>
    <col min="21" max="21" width="8.58203125" style="4" customWidth="1"/>
    <col min="22" max="22" width="9.08203125" style="4"/>
    <col min="23" max="23" width="9.08203125" style="3"/>
    <col min="24" max="24" width="9.08203125" style="4"/>
    <col min="25" max="26" width="9.08203125" style="3"/>
    <col min="27" max="16384" width="9.08203125" style="4"/>
  </cols>
  <sheetData>
    <row r="1" spans="1:26" ht="20.149999999999999" customHeight="1" x14ac:dyDescent="0.3">
      <c r="A1" s="134" t="s">
        <v>0</v>
      </c>
      <c r="B1" s="134" t="s">
        <v>1</v>
      </c>
      <c r="C1" s="134" t="s">
        <v>27</v>
      </c>
      <c r="D1" s="134" t="s">
        <v>2</v>
      </c>
      <c r="E1" s="134" t="s">
        <v>3</v>
      </c>
      <c r="F1" s="134" t="s">
        <v>4</v>
      </c>
      <c r="G1" s="134" t="s">
        <v>5</v>
      </c>
      <c r="H1" s="134" t="s">
        <v>6</v>
      </c>
      <c r="I1" s="134" t="s">
        <v>7</v>
      </c>
      <c r="J1" s="134" t="s">
        <v>8</v>
      </c>
      <c r="K1" s="135" t="s">
        <v>249</v>
      </c>
      <c r="L1" s="134" t="s">
        <v>9</v>
      </c>
      <c r="M1" s="134" t="s">
        <v>10</v>
      </c>
      <c r="N1" s="137" t="s">
        <v>11</v>
      </c>
      <c r="O1" s="137"/>
      <c r="P1" s="137"/>
      <c r="Q1" s="137"/>
      <c r="R1" s="137" t="s">
        <v>12</v>
      </c>
      <c r="S1" s="137"/>
      <c r="T1" s="134" t="s">
        <v>13</v>
      </c>
      <c r="U1" s="134" t="s">
        <v>14</v>
      </c>
      <c r="V1" s="134" t="s">
        <v>15</v>
      </c>
      <c r="W1" s="134" t="s">
        <v>16</v>
      </c>
      <c r="X1" s="134" t="s">
        <v>17</v>
      </c>
    </row>
    <row r="2" spans="1:26" ht="20.149999999999999" customHeight="1" x14ac:dyDescent="0.3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6"/>
      <c r="L2" s="134"/>
      <c r="M2" s="134"/>
      <c r="N2" s="18" t="s">
        <v>18</v>
      </c>
      <c r="O2" s="18" t="s">
        <v>19</v>
      </c>
      <c r="P2" s="18" t="s">
        <v>20</v>
      </c>
      <c r="Q2" s="18" t="s">
        <v>21</v>
      </c>
      <c r="R2" s="7">
        <v>0</v>
      </c>
      <c r="S2" s="7">
        <v>1</v>
      </c>
      <c r="T2" s="134"/>
      <c r="U2" s="134"/>
      <c r="V2" s="134"/>
      <c r="W2" s="134"/>
      <c r="X2" s="134"/>
      <c r="Y2" s="3" t="s">
        <v>22</v>
      </c>
      <c r="Z2" s="3" t="s">
        <v>23</v>
      </c>
    </row>
    <row r="3" spans="1:26" ht="30" customHeight="1" x14ac:dyDescent="0.3">
      <c r="A3" s="20" t="s">
        <v>1201</v>
      </c>
      <c r="B3" s="21"/>
      <c r="C3" s="21"/>
      <c r="D3" s="22"/>
      <c r="E3" s="17"/>
      <c r="F3" s="17"/>
      <c r="G3" s="17"/>
      <c r="H3" s="17"/>
      <c r="I3" s="17"/>
      <c r="J3" s="17"/>
      <c r="K3" s="17"/>
      <c r="L3" s="17"/>
      <c r="M3" s="17"/>
      <c r="N3" s="18"/>
      <c r="O3" s="18"/>
      <c r="P3" s="18"/>
      <c r="Q3" s="18"/>
      <c r="R3" s="7"/>
      <c r="S3" s="7"/>
      <c r="T3" s="17"/>
      <c r="U3" s="17"/>
      <c r="V3" s="17"/>
      <c r="W3" s="17"/>
      <c r="X3" s="17"/>
    </row>
    <row r="4" spans="1:26" ht="30" customHeight="1" x14ac:dyDescent="0.3">
      <c r="A4" s="14">
        <f>ROW()-3</f>
        <v>1</v>
      </c>
      <c r="B4" s="15" t="s">
        <v>172</v>
      </c>
      <c r="C4" s="15" t="s">
        <v>941</v>
      </c>
      <c r="D4" s="15" t="s">
        <v>911</v>
      </c>
      <c r="E4" s="19" t="s">
        <v>1171</v>
      </c>
      <c r="F4" s="15" t="s">
        <v>932</v>
      </c>
      <c r="G4" s="15" t="s">
        <v>933</v>
      </c>
      <c r="H4" s="14" t="s">
        <v>172</v>
      </c>
      <c r="I4" s="14" t="s">
        <v>25</v>
      </c>
      <c r="J4" s="14" t="s">
        <v>30</v>
      </c>
      <c r="K4" s="14" t="s">
        <v>713</v>
      </c>
      <c r="L4" s="14" t="s">
        <v>163</v>
      </c>
      <c r="M4" s="14" t="s">
        <v>163</v>
      </c>
      <c r="N4" s="14"/>
      <c r="O4" s="14"/>
      <c r="P4" s="14"/>
      <c r="Q4" s="14"/>
      <c r="R4" s="14"/>
      <c r="S4" s="14"/>
      <c r="T4" s="14"/>
      <c r="U4" s="5"/>
      <c r="V4" s="5"/>
      <c r="W4" s="14"/>
      <c r="X4" s="5"/>
    </row>
    <row r="5" spans="1:26" ht="30" customHeight="1" x14ac:dyDescent="0.3">
      <c r="A5" s="14">
        <f t="shared" ref="A5:A62" si="0">ROW()-3</f>
        <v>2</v>
      </c>
      <c r="B5" s="15" t="s">
        <v>172</v>
      </c>
      <c r="C5" s="15" t="s">
        <v>942</v>
      </c>
      <c r="D5" s="15" t="s">
        <v>912</v>
      </c>
      <c r="E5" s="19" t="s">
        <v>1172</v>
      </c>
      <c r="F5" s="15" t="s">
        <v>934</v>
      </c>
      <c r="G5" s="15" t="s">
        <v>933</v>
      </c>
      <c r="H5" s="14" t="s">
        <v>172</v>
      </c>
      <c r="I5" s="14" t="s">
        <v>25</v>
      </c>
      <c r="J5" s="14" t="s">
        <v>30</v>
      </c>
      <c r="K5" s="14" t="s">
        <v>713</v>
      </c>
      <c r="L5" s="14" t="s">
        <v>163</v>
      </c>
      <c r="M5" s="14" t="s">
        <v>163</v>
      </c>
      <c r="N5" s="14"/>
      <c r="O5" s="14"/>
      <c r="P5" s="14"/>
      <c r="Q5" s="14"/>
      <c r="R5" s="14"/>
      <c r="S5" s="14"/>
      <c r="T5" s="14"/>
      <c r="U5" s="5"/>
      <c r="V5" s="5"/>
      <c r="W5" s="14"/>
      <c r="X5" s="5"/>
    </row>
    <row r="6" spans="1:26" ht="30" customHeight="1" x14ac:dyDescent="0.3">
      <c r="A6" s="14">
        <f t="shared" si="0"/>
        <v>3</v>
      </c>
      <c r="B6" s="15" t="s">
        <v>172</v>
      </c>
      <c r="C6" s="15" t="s">
        <v>943</v>
      </c>
      <c r="D6" s="15" t="s">
        <v>913</v>
      </c>
      <c r="E6" s="19" t="s">
        <v>1173</v>
      </c>
      <c r="F6" s="15" t="s">
        <v>935</v>
      </c>
      <c r="G6" s="15" t="s">
        <v>933</v>
      </c>
      <c r="H6" s="14" t="s">
        <v>172</v>
      </c>
      <c r="I6" s="14" t="s">
        <v>25</v>
      </c>
      <c r="J6" s="14" t="s">
        <v>30</v>
      </c>
      <c r="K6" s="14" t="s">
        <v>713</v>
      </c>
      <c r="L6" s="14" t="s">
        <v>163</v>
      </c>
      <c r="M6" s="14" t="s">
        <v>163</v>
      </c>
      <c r="N6" s="14"/>
      <c r="O6" s="14"/>
      <c r="P6" s="14"/>
      <c r="Q6" s="14"/>
      <c r="R6" s="14"/>
      <c r="S6" s="14"/>
      <c r="T6" s="14"/>
      <c r="U6" s="5"/>
      <c r="V6" s="5"/>
      <c r="W6" s="14"/>
      <c r="X6" s="5"/>
    </row>
    <row r="7" spans="1:26" ht="30" customHeight="1" x14ac:dyDescent="0.3">
      <c r="A7" s="14">
        <f t="shared" si="0"/>
        <v>4</v>
      </c>
      <c r="B7" s="15" t="s">
        <v>172</v>
      </c>
      <c r="C7" s="15" t="s">
        <v>944</v>
      </c>
      <c r="D7" s="15" t="s">
        <v>914</v>
      </c>
      <c r="E7" s="19" t="s">
        <v>1174</v>
      </c>
      <c r="F7" s="15" t="s">
        <v>936</v>
      </c>
      <c r="G7" s="15" t="s">
        <v>933</v>
      </c>
      <c r="H7" s="14" t="s">
        <v>172</v>
      </c>
      <c r="I7" s="14" t="s">
        <v>25</v>
      </c>
      <c r="J7" s="14" t="s">
        <v>30</v>
      </c>
      <c r="K7" s="14" t="s">
        <v>713</v>
      </c>
      <c r="L7" s="14" t="s">
        <v>163</v>
      </c>
      <c r="M7" s="14" t="s">
        <v>163</v>
      </c>
      <c r="N7" s="14"/>
      <c r="O7" s="14"/>
      <c r="P7" s="14"/>
      <c r="Q7" s="14"/>
      <c r="R7" s="14"/>
      <c r="S7" s="14"/>
      <c r="T7" s="14"/>
      <c r="U7" s="5"/>
      <c r="V7" s="5"/>
      <c r="W7" s="14"/>
      <c r="X7" s="5"/>
    </row>
    <row r="8" spans="1:26" ht="30" customHeight="1" x14ac:dyDescent="0.3">
      <c r="A8" s="14">
        <f t="shared" si="0"/>
        <v>5</v>
      </c>
      <c r="B8" s="15" t="s">
        <v>172</v>
      </c>
      <c r="C8" s="15" t="s">
        <v>945</v>
      </c>
      <c r="D8" s="15" t="s">
        <v>915</v>
      </c>
      <c r="E8" s="19" t="s">
        <v>1175</v>
      </c>
      <c r="F8" s="15" t="s">
        <v>937</v>
      </c>
      <c r="G8" s="15" t="s">
        <v>933</v>
      </c>
      <c r="H8" s="14" t="s">
        <v>172</v>
      </c>
      <c r="I8" s="14" t="s">
        <v>25</v>
      </c>
      <c r="J8" s="14" t="s">
        <v>30</v>
      </c>
      <c r="K8" s="14" t="s">
        <v>713</v>
      </c>
      <c r="L8" s="14" t="s">
        <v>163</v>
      </c>
      <c r="M8" s="14" t="s">
        <v>163</v>
      </c>
      <c r="N8" s="14"/>
      <c r="O8" s="14"/>
      <c r="P8" s="14"/>
      <c r="Q8" s="14"/>
      <c r="R8" s="14"/>
      <c r="S8" s="14"/>
      <c r="T8" s="14"/>
      <c r="U8" s="5"/>
      <c r="V8" s="5"/>
      <c r="W8" s="14"/>
      <c r="X8" s="5"/>
    </row>
    <row r="9" spans="1:26" ht="30" customHeight="1" x14ac:dyDescent="0.3">
      <c r="A9" s="14">
        <f t="shared" si="0"/>
        <v>6</v>
      </c>
      <c r="B9" s="15" t="s">
        <v>172</v>
      </c>
      <c r="C9" s="15" t="s">
        <v>946</v>
      </c>
      <c r="D9" s="15" t="s">
        <v>916</v>
      </c>
      <c r="E9" s="19" t="s">
        <v>1176</v>
      </c>
      <c r="F9" s="15" t="s">
        <v>938</v>
      </c>
      <c r="G9" s="15" t="s">
        <v>933</v>
      </c>
      <c r="H9" s="14" t="s">
        <v>172</v>
      </c>
      <c r="I9" s="14" t="s">
        <v>25</v>
      </c>
      <c r="J9" s="14" t="s">
        <v>30</v>
      </c>
      <c r="K9" s="14" t="s">
        <v>713</v>
      </c>
      <c r="L9" s="14" t="s">
        <v>163</v>
      </c>
      <c r="M9" s="14" t="s">
        <v>163</v>
      </c>
      <c r="N9" s="14"/>
      <c r="O9" s="14"/>
      <c r="P9" s="14"/>
      <c r="Q9" s="14"/>
      <c r="R9" s="14"/>
      <c r="S9" s="14"/>
      <c r="T9" s="14"/>
      <c r="U9" s="5"/>
      <c r="V9" s="5"/>
      <c r="W9" s="14"/>
      <c r="X9" s="5"/>
    </row>
    <row r="10" spans="1:26" ht="30" customHeight="1" x14ac:dyDescent="0.3">
      <c r="A10" s="14">
        <f t="shared" si="0"/>
        <v>7</v>
      </c>
      <c r="B10" s="15" t="s">
        <v>172</v>
      </c>
      <c r="C10" s="15" t="s">
        <v>947</v>
      </c>
      <c r="D10" s="15" t="s">
        <v>917</v>
      </c>
      <c r="E10" s="19" t="s">
        <v>1177</v>
      </c>
      <c r="F10" s="15" t="s">
        <v>939</v>
      </c>
      <c r="G10" s="15" t="s">
        <v>933</v>
      </c>
      <c r="H10" s="14" t="s">
        <v>172</v>
      </c>
      <c r="I10" s="14" t="s">
        <v>25</v>
      </c>
      <c r="J10" s="14" t="s">
        <v>30</v>
      </c>
      <c r="K10" s="14" t="s">
        <v>713</v>
      </c>
      <c r="L10" s="14" t="s">
        <v>163</v>
      </c>
      <c r="M10" s="14" t="s">
        <v>163</v>
      </c>
      <c r="N10" s="14"/>
      <c r="O10" s="14"/>
      <c r="P10" s="14"/>
      <c r="Q10" s="14"/>
      <c r="R10" s="14"/>
      <c r="S10" s="14"/>
      <c r="T10" s="14"/>
      <c r="U10" s="5"/>
      <c r="V10" s="5"/>
      <c r="W10" s="14"/>
      <c r="X10" s="5"/>
    </row>
    <row r="11" spans="1:26" ht="30" customHeight="1" x14ac:dyDescent="0.3">
      <c r="A11" s="14">
        <f t="shared" si="0"/>
        <v>8</v>
      </c>
      <c r="B11" s="15" t="s">
        <v>172</v>
      </c>
      <c r="C11" s="15" t="s">
        <v>948</v>
      </c>
      <c r="D11" s="15" t="s">
        <v>918</v>
      </c>
      <c r="E11" s="19" t="s">
        <v>1178</v>
      </c>
      <c r="F11" s="15" t="s">
        <v>940</v>
      </c>
      <c r="G11" s="15" t="s">
        <v>640</v>
      </c>
      <c r="H11" s="14" t="s">
        <v>172</v>
      </c>
      <c r="I11" s="14" t="s">
        <v>25</v>
      </c>
      <c r="J11" s="14" t="s">
        <v>30</v>
      </c>
      <c r="K11" s="14" t="s">
        <v>713</v>
      </c>
      <c r="L11" s="14" t="s">
        <v>163</v>
      </c>
      <c r="M11" s="14" t="s">
        <v>163</v>
      </c>
      <c r="N11" s="14"/>
      <c r="O11" s="14"/>
      <c r="P11" s="14"/>
      <c r="Q11" s="14"/>
      <c r="R11" s="14"/>
      <c r="S11" s="14"/>
      <c r="T11" s="14"/>
      <c r="U11" s="5"/>
      <c r="V11" s="5"/>
      <c r="W11" s="14"/>
      <c r="X11" s="5"/>
    </row>
    <row r="12" spans="1:26" s="3" customFormat="1" ht="30" customHeight="1" x14ac:dyDescent="0.3">
      <c r="A12" s="14">
        <f t="shared" si="0"/>
        <v>9</v>
      </c>
      <c r="B12" s="15" t="s">
        <v>172</v>
      </c>
      <c r="C12" s="15" t="s">
        <v>956</v>
      </c>
      <c r="D12" s="15" t="s">
        <v>919</v>
      </c>
      <c r="E12" s="19" t="s">
        <v>1179</v>
      </c>
      <c r="F12" s="15" t="s">
        <v>932</v>
      </c>
      <c r="G12" s="15" t="s">
        <v>933</v>
      </c>
      <c r="H12" s="14" t="s">
        <v>172</v>
      </c>
      <c r="I12" s="14" t="s">
        <v>29</v>
      </c>
      <c r="J12" s="14" t="s">
        <v>31</v>
      </c>
      <c r="K12" s="15" t="s">
        <v>251</v>
      </c>
      <c r="L12" s="14" t="s">
        <v>163</v>
      </c>
      <c r="M12" s="14" t="s">
        <v>969</v>
      </c>
      <c r="N12" s="14"/>
      <c r="O12" s="14"/>
      <c r="P12" s="14"/>
      <c r="Q12" s="14"/>
      <c r="R12" s="14"/>
      <c r="S12" s="14"/>
      <c r="T12" s="14"/>
      <c r="U12" s="5"/>
      <c r="V12" s="5"/>
      <c r="W12" s="14"/>
      <c r="X12" s="5"/>
    </row>
    <row r="13" spans="1:26" s="3" customFormat="1" ht="30" customHeight="1" x14ac:dyDescent="0.3">
      <c r="A13" s="14">
        <f t="shared" si="0"/>
        <v>10</v>
      </c>
      <c r="B13" s="15" t="s">
        <v>172</v>
      </c>
      <c r="C13" s="15" t="s">
        <v>957</v>
      </c>
      <c r="D13" s="15" t="s">
        <v>920</v>
      </c>
      <c r="E13" s="19" t="s">
        <v>1184</v>
      </c>
      <c r="F13" s="15" t="s">
        <v>934</v>
      </c>
      <c r="G13" s="15" t="s">
        <v>933</v>
      </c>
      <c r="H13" s="14" t="s">
        <v>172</v>
      </c>
      <c r="I13" s="14" t="s">
        <v>29</v>
      </c>
      <c r="J13" s="14" t="s">
        <v>31</v>
      </c>
      <c r="K13" s="15" t="s">
        <v>251</v>
      </c>
      <c r="L13" s="14" t="s">
        <v>163</v>
      </c>
      <c r="M13" s="14" t="s">
        <v>969</v>
      </c>
      <c r="N13" s="14"/>
      <c r="O13" s="14"/>
      <c r="P13" s="14"/>
      <c r="Q13" s="14"/>
      <c r="R13" s="14"/>
      <c r="S13" s="14"/>
      <c r="T13" s="14"/>
      <c r="U13" s="5"/>
      <c r="V13" s="5"/>
      <c r="W13" s="14"/>
      <c r="X13" s="5"/>
    </row>
    <row r="14" spans="1:26" s="3" customFormat="1" ht="30" customHeight="1" x14ac:dyDescent="0.3">
      <c r="A14" s="14">
        <f t="shared" si="0"/>
        <v>11</v>
      </c>
      <c r="B14" s="15" t="s">
        <v>172</v>
      </c>
      <c r="C14" s="15" t="s">
        <v>958</v>
      </c>
      <c r="D14" s="15" t="s">
        <v>921</v>
      </c>
      <c r="E14" s="19" t="s">
        <v>1180</v>
      </c>
      <c r="F14" s="15" t="s">
        <v>935</v>
      </c>
      <c r="G14" s="15" t="s">
        <v>933</v>
      </c>
      <c r="H14" s="14" t="s">
        <v>172</v>
      </c>
      <c r="I14" s="14" t="s">
        <v>29</v>
      </c>
      <c r="J14" s="14" t="s">
        <v>31</v>
      </c>
      <c r="K14" s="15" t="s">
        <v>251</v>
      </c>
      <c r="L14" s="14" t="s">
        <v>163</v>
      </c>
      <c r="M14" s="14" t="s">
        <v>969</v>
      </c>
      <c r="N14" s="14"/>
      <c r="O14" s="14"/>
      <c r="P14" s="14"/>
      <c r="Q14" s="14"/>
      <c r="R14" s="14"/>
      <c r="S14" s="14"/>
      <c r="T14" s="14"/>
      <c r="U14" s="5"/>
      <c r="V14" s="5"/>
      <c r="W14" s="14"/>
      <c r="X14" s="5"/>
    </row>
    <row r="15" spans="1:26" s="3" customFormat="1" ht="30" customHeight="1" x14ac:dyDescent="0.3">
      <c r="A15" s="14">
        <f t="shared" si="0"/>
        <v>12</v>
      </c>
      <c r="B15" s="15" t="s">
        <v>172</v>
      </c>
      <c r="C15" s="15" t="s">
        <v>959</v>
      </c>
      <c r="D15" s="15" t="s">
        <v>922</v>
      </c>
      <c r="E15" s="19" t="s">
        <v>1181</v>
      </c>
      <c r="F15" s="15" t="s">
        <v>936</v>
      </c>
      <c r="G15" s="15" t="s">
        <v>933</v>
      </c>
      <c r="H15" s="14" t="s">
        <v>172</v>
      </c>
      <c r="I15" s="14" t="s">
        <v>29</v>
      </c>
      <c r="J15" s="14" t="s">
        <v>31</v>
      </c>
      <c r="K15" s="15" t="s">
        <v>251</v>
      </c>
      <c r="L15" s="14" t="s">
        <v>163</v>
      </c>
      <c r="M15" s="14" t="s">
        <v>969</v>
      </c>
      <c r="N15" s="14"/>
      <c r="O15" s="14"/>
      <c r="P15" s="14"/>
      <c r="Q15" s="14"/>
      <c r="R15" s="14"/>
      <c r="S15" s="14"/>
      <c r="T15" s="14"/>
      <c r="U15" s="5"/>
      <c r="V15" s="5"/>
      <c r="W15" s="14"/>
      <c r="X15" s="5"/>
    </row>
    <row r="16" spans="1:26" s="3" customFormat="1" ht="30" customHeight="1" x14ac:dyDescent="0.3">
      <c r="A16" s="14">
        <f t="shared" si="0"/>
        <v>13</v>
      </c>
      <c r="B16" s="15" t="s">
        <v>172</v>
      </c>
      <c r="C16" s="15" t="s">
        <v>960</v>
      </c>
      <c r="D16" s="15" t="s">
        <v>923</v>
      </c>
      <c r="E16" s="19" t="s">
        <v>1182</v>
      </c>
      <c r="F16" s="15" t="s">
        <v>937</v>
      </c>
      <c r="G16" s="15" t="s">
        <v>933</v>
      </c>
      <c r="H16" s="14" t="s">
        <v>172</v>
      </c>
      <c r="I16" s="14" t="s">
        <v>29</v>
      </c>
      <c r="J16" s="14" t="s">
        <v>31</v>
      </c>
      <c r="K16" s="15" t="s">
        <v>251</v>
      </c>
      <c r="L16" s="14" t="s">
        <v>163</v>
      </c>
      <c r="M16" s="14" t="s">
        <v>969</v>
      </c>
      <c r="N16" s="14"/>
      <c r="O16" s="14"/>
      <c r="P16" s="14"/>
      <c r="Q16" s="14"/>
      <c r="R16" s="14"/>
      <c r="S16" s="14"/>
      <c r="T16" s="14"/>
      <c r="U16" s="5"/>
      <c r="V16" s="5"/>
      <c r="W16" s="14"/>
      <c r="X16" s="5"/>
    </row>
    <row r="17" spans="1:24" s="3" customFormat="1" ht="30" customHeight="1" x14ac:dyDescent="0.3">
      <c r="A17" s="14">
        <f t="shared" si="0"/>
        <v>14</v>
      </c>
      <c r="B17" s="15" t="s">
        <v>172</v>
      </c>
      <c r="C17" s="15" t="s">
        <v>961</v>
      </c>
      <c r="D17" s="15" t="s">
        <v>924</v>
      </c>
      <c r="E17" s="19" t="s">
        <v>1183</v>
      </c>
      <c r="F17" s="15" t="s">
        <v>938</v>
      </c>
      <c r="G17" s="15" t="s">
        <v>933</v>
      </c>
      <c r="H17" s="14" t="s">
        <v>172</v>
      </c>
      <c r="I17" s="14" t="s">
        <v>29</v>
      </c>
      <c r="J17" s="14" t="s">
        <v>31</v>
      </c>
      <c r="K17" s="15" t="s">
        <v>251</v>
      </c>
      <c r="L17" s="14" t="s">
        <v>163</v>
      </c>
      <c r="M17" s="14" t="s">
        <v>969</v>
      </c>
      <c r="N17" s="14"/>
      <c r="O17" s="14"/>
      <c r="P17" s="14"/>
      <c r="Q17" s="14"/>
      <c r="R17" s="14"/>
      <c r="S17" s="14"/>
      <c r="T17" s="14"/>
      <c r="U17" s="5"/>
      <c r="V17" s="5"/>
      <c r="W17" s="14"/>
      <c r="X17" s="5"/>
    </row>
    <row r="18" spans="1:24" s="3" customFormat="1" ht="30" customHeight="1" x14ac:dyDescent="0.3">
      <c r="A18" s="14">
        <f t="shared" si="0"/>
        <v>15</v>
      </c>
      <c r="B18" s="15" t="s">
        <v>172</v>
      </c>
      <c r="C18" s="15" t="s">
        <v>949</v>
      </c>
      <c r="D18" s="15" t="s">
        <v>925</v>
      </c>
      <c r="E18" s="19" t="s">
        <v>962</v>
      </c>
      <c r="F18" s="15" t="s">
        <v>932</v>
      </c>
      <c r="G18" s="15" t="s">
        <v>933</v>
      </c>
      <c r="H18" s="14" t="s">
        <v>172</v>
      </c>
      <c r="I18" s="14" t="s">
        <v>25</v>
      </c>
      <c r="J18" s="14" t="s">
        <v>30</v>
      </c>
      <c r="K18" s="14" t="s">
        <v>713</v>
      </c>
      <c r="L18" s="14" t="s">
        <v>163</v>
      </c>
      <c r="M18" s="14" t="s">
        <v>163</v>
      </c>
      <c r="N18" s="14"/>
      <c r="O18" s="14"/>
      <c r="P18" s="14"/>
      <c r="Q18" s="14"/>
      <c r="R18" s="14"/>
      <c r="S18" s="14"/>
      <c r="T18" s="14"/>
      <c r="U18" s="5"/>
      <c r="V18" s="5"/>
      <c r="W18" s="14"/>
      <c r="X18" s="5"/>
    </row>
    <row r="19" spans="1:24" s="3" customFormat="1" ht="30" customHeight="1" x14ac:dyDescent="0.3">
      <c r="A19" s="14">
        <f t="shared" si="0"/>
        <v>16</v>
      </c>
      <c r="B19" s="15" t="s">
        <v>172</v>
      </c>
      <c r="C19" s="15" t="s">
        <v>950</v>
      </c>
      <c r="D19" s="15" t="s">
        <v>926</v>
      </c>
      <c r="E19" s="19" t="s">
        <v>963</v>
      </c>
      <c r="F19" s="15" t="s">
        <v>934</v>
      </c>
      <c r="G19" s="15" t="s">
        <v>933</v>
      </c>
      <c r="H19" s="14" t="s">
        <v>172</v>
      </c>
      <c r="I19" s="14" t="s">
        <v>25</v>
      </c>
      <c r="J19" s="14" t="s">
        <v>30</v>
      </c>
      <c r="K19" s="14" t="s">
        <v>713</v>
      </c>
      <c r="L19" s="14" t="s">
        <v>163</v>
      </c>
      <c r="M19" s="14" t="s">
        <v>163</v>
      </c>
      <c r="N19" s="14"/>
      <c r="O19" s="14"/>
      <c r="P19" s="14"/>
      <c r="Q19" s="14"/>
      <c r="R19" s="14"/>
      <c r="S19" s="14"/>
      <c r="T19" s="14"/>
      <c r="U19" s="5"/>
      <c r="V19" s="5"/>
      <c r="W19" s="14"/>
      <c r="X19" s="5"/>
    </row>
    <row r="20" spans="1:24" s="3" customFormat="1" ht="30" customHeight="1" x14ac:dyDescent="0.3">
      <c r="A20" s="14">
        <f t="shared" si="0"/>
        <v>17</v>
      </c>
      <c r="B20" s="15" t="s">
        <v>172</v>
      </c>
      <c r="C20" s="15" t="s">
        <v>951</v>
      </c>
      <c r="D20" s="15" t="s">
        <v>927</v>
      </c>
      <c r="E20" s="19" t="s">
        <v>964</v>
      </c>
      <c r="F20" s="15" t="s">
        <v>935</v>
      </c>
      <c r="G20" s="15" t="s">
        <v>933</v>
      </c>
      <c r="H20" s="14" t="s">
        <v>172</v>
      </c>
      <c r="I20" s="14" t="s">
        <v>25</v>
      </c>
      <c r="J20" s="14" t="s">
        <v>30</v>
      </c>
      <c r="K20" s="14" t="s">
        <v>713</v>
      </c>
      <c r="L20" s="14" t="s">
        <v>163</v>
      </c>
      <c r="M20" s="14" t="s">
        <v>163</v>
      </c>
      <c r="N20" s="14"/>
      <c r="O20" s="14"/>
      <c r="P20" s="14"/>
      <c r="Q20" s="14"/>
      <c r="R20" s="14"/>
      <c r="S20" s="14"/>
      <c r="T20" s="14"/>
      <c r="U20" s="5"/>
      <c r="V20" s="5"/>
      <c r="W20" s="14"/>
      <c r="X20" s="5"/>
    </row>
    <row r="21" spans="1:24" s="3" customFormat="1" ht="30" customHeight="1" x14ac:dyDescent="0.3">
      <c r="A21" s="14">
        <f t="shared" si="0"/>
        <v>18</v>
      </c>
      <c r="B21" s="15" t="s">
        <v>172</v>
      </c>
      <c r="C21" s="15" t="s">
        <v>952</v>
      </c>
      <c r="D21" s="15" t="s">
        <v>928</v>
      </c>
      <c r="E21" s="19" t="s">
        <v>965</v>
      </c>
      <c r="F21" s="15" t="s">
        <v>936</v>
      </c>
      <c r="G21" s="15" t="s">
        <v>933</v>
      </c>
      <c r="H21" s="14" t="s">
        <v>172</v>
      </c>
      <c r="I21" s="14" t="s">
        <v>25</v>
      </c>
      <c r="J21" s="14" t="s">
        <v>30</v>
      </c>
      <c r="K21" s="14" t="s">
        <v>713</v>
      </c>
      <c r="L21" s="14" t="s">
        <v>163</v>
      </c>
      <c r="M21" s="14" t="s">
        <v>163</v>
      </c>
      <c r="N21" s="14"/>
      <c r="O21" s="14"/>
      <c r="P21" s="14"/>
      <c r="Q21" s="14"/>
      <c r="R21" s="14"/>
      <c r="S21" s="14"/>
      <c r="T21" s="14"/>
      <c r="U21" s="5"/>
      <c r="V21" s="5"/>
      <c r="W21" s="14"/>
      <c r="X21" s="5"/>
    </row>
    <row r="22" spans="1:24" s="3" customFormat="1" ht="30" customHeight="1" x14ac:dyDescent="0.3">
      <c r="A22" s="14">
        <f t="shared" si="0"/>
        <v>19</v>
      </c>
      <c r="B22" s="15" t="s">
        <v>172</v>
      </c>
      <c r="C22" s="15" t="s">
        <v>953</v>
      </c>
      <c r="D22" s="15" t="s">
        <v>929</v>
      </c>
      <c r="E22" s="19" t="s">
        <v>966</v>
      </c>
      <c r="F22" s="15" t="s">
        <v>937</v>
      </c>
      <c r="G22" s="15" t="s">
        <v>933</v>
      </c>
      <c r="H22" s="14" t="s">
        <v>172</v>
      </c>
      <c r="I22" s="14" t="s">
        <v>25</v>
      </c>
      <c r="J22" s="14" t="s">
        <v>30</v>
      </c>
      <c r="K22" s="14" t="s">
        <v>713</v>
      </c>
      <c r="L22" s="14" t="s">
        <v>163</v>
      </c>
      <c r="M22" s="14" t="s">
        <v>163</v>
      </c>
      <c r="N22" s="14"/>
      <c r="O22" s="14"/>
      <c r="P22" s="14"/>
      <c r="Q22" s="14"/>
      <c r="R22" s="14"/>
      <c r="S22" s="14"/>
      <c r="T22" s="14"/>
      <c r="U22" s="5"/>
      <c r="V22" s="5"/>
      <c r="W22" s="14"/>
      <c r="X22" s="5"/>
    </row>
    <row r="23" spans="1:24" s="3" customFormat="1" ht="30" customHeight="1" x14ac:dyDescent="0.3">
      <c r="A23" s="14">
        <f t="shared" si="0"/>
        <v>20</v>
      </c>
      <c r="B23" s="15" t="s">
        <v>172</v>
      </c>
      <c r="C23" s="15" t="s">
        <v>954</v>
      </c>
      <c r="D23" s="15" t="s">
        <v>930</v>
      </c>
      <c r="E23" s="19" t="s">
        <v>967</v>
      </c>
      <c r="F23" s="15" t="s">
        <v>938</v>
      </c>
      <c r="G23" s="15" t="s">
        <v>933</v>
      </c>
      <c r="H23" s="14" t="s">
        <v>172</v>
      </c>
      <c r="I23" s="14" t="s">
        <v>25</v>
      </c>
      <c r="J23" s="14" t="s">
        <v>30</v>
      </c>
      <c r="K23" s="14" t="s">
        <v>713</v>
      </c>
      <c r="L23" s="14" t="s">
        <v>163</v>
      </c>
      <c r="M23" s="14" t="s">
        <v>163</v>
      </c>
      <c r="N23" s="14"/>
      <c r="O23" s="14"/>
      <c r="P23" s="14"/>
      <c r="Q23" s="14"/>
      <c r="R23" s="14"/>
      <c r="S23" s="14"/>
      <c r="T23" s="14"/>
      <c r="U23" s="5"/>
      <c r="V23" s="5"/>
      <c r="W23" s="14"/>
      <c r="X23" s="5"/>
    </row>
    <row r="24" spans="1:24" s="3" customFormat="1" ht="30" customHeight="1" x14ac:dyDescent="0.3">
      <c r="A24" s="14">
        <f t="shared" si="0"/>
        <v>21</v>
      </c>
      <c r="B24" s="15" t="s">
        <v>172</v>
      </c>
      <c r="C24" s="15" t="s">
        <v>955</v>
      </c>
      <c r="D24" s="15" t="s">
        <v>931</v>
      </c>
      <c r="E24" s="19" t="s">
        <v>968</v>
      </c>
      <c r="F24" s="15" t="s">
        <v>939</v>
      </c>
      <c r="G24" s="15" t="s">
        <v>933</v>
      </c>
      <c r="H24" s="14" t="s">
        <v>172</v>
      </c>
      <c r="I24" s="14" t="s">
        <v>25</v>
      </c>
      <c r="J24" s="14" t="s">
        <v>30</v>
      </c>
      <c r="K24" s="14" t="s">
        <v>713</v>
      </c>
      <c r="L24" s="14" t="s">
        <v>163</v>
      </c>
      <c r="M24" s="14" t="s">
        <v>163</v>
      </c>
      <c r="N24" s="14"/>
      <c r="O24" s="14"/>
      <c r="P24" s="14"/>
      <c r="Q24" s="14"/>
      <c r="R24" s="14"/>
      <c r="S24" s="14"/>
      <c r="T24" s="14"/>
      <c r="U24" s="5"/>
      <c r="V24" s="5"/>
      <c r="W24" s="14"/>
      <c r="X24" s="5"/>
    </row>
    <row r="25" spans="1:24" s="3" customFormat="1" ht="30" customHeight="1" x14ac:dyDescent="0.3">
      <c r="A25" s="14">
        <f t="shared" si="0"/>
        <v>22</v>
      </c>
      <c r="B25" s="15" t="s">
        <v>172</v>
      </c>
      <c r="C25" s="15" t="s">
        <v>1075</v>
      </c>
      <c r="D25" s="15" t="s">
        <v>1076</v>
      </c>
      <c r="E25" s="19" t="s">
        <v>1059</v>
      </c>
      <c r="F25" s="15" t="s">
        <v>932</v>
      </c>
      <c r="G25" s="15" t="s">
        <v>933</v>
      </c>
      <c r="H25" s="14" t="s">
        <v>172</v>
      </c>
      <c r="I25" s="14" t="s">
        <v>1205</v>
      </c>
      <c r="J25" s="14" t="s">
        <v>31</v>
      </c>
      <c r="K25" s="14" t="s">
        <v>163</v>
      </c>
      <c r="L25" s="14" t="s">
        <v>242</v>
      </c>
      <c r="M25" s="14" t="s">
        <v>243</v>
      </c>
      <c r="N25" s="14"/>
      <c r="O25" s="14"/>
      <c r="P25" s="14"/>
      <c r="Q25" s="14"/>
      <c r="R25" s="14"/>
      <c r="S25" s="14"/>
      <c r="T25" s="14"/>
      <c r="U25" s="5"/>
      <c r="V25" s="5"/>
      <c r="W25" s="14"/>
      <c r="X25" s="5"/>
    </row>
    <row r="26" spans="1:24" s="73" customFormat="1" ht="30" customHeight="1" x14ac:dyDescent="0.3">
      <c r="A26" s="71">
        <f t="shared" si="0"/>
        <v>23</v>
      </c>
      <c r="B26" s="71">
        <v>0</v>
      </c>
      <c r="C26" s="71" t="s">
        <v>1206</v>
      </c>
      <c r="D26" s="71" t="s">
        <v>1077</v>
      </c>
      <c r="E26" s="72" t="s">
        <v>1225</v>
      </c>
      <c r="F26" s="71" t="s">
        <v>932</v>
      </c>
      <c r="G26" s="71" t="s">
        <v>933</v>
      </c>
      <c r="H26" s="71" t="s">
        <v>172</v>
      </c>
      <c r="I26" s="71" t="s">
        <v>1203</v>
      </c>
      <c r="J26" s="71" t="s">
        <v>31</v>
      </c>
      <c r="K26" s="71" t="s">
        <v>163</v>
      </c>
      <c r="L26" s="71" t="s">
        <v>163</v>
      </c>
      <c r="M26" s="71" t="s">
        <v>1062</v>
      </c>
      <c r="N26" s="71"/>
      <c r="O26" s="71"/>
      <c r="P26" s="71"/>
      <c r="Q26" s="71"/>
      <c r="R26" s="71"/>
      <c r="S26" s="71"/>
      <c r="T26" s="71"/>
      <c r="U26" s="72"/>
      <c r="V26" s="72"/>
      <c r="W26" s="71"/>
      <c r="X26" s="72"/>
    </row>
    <row r="27" spans="1:24" s="73" customFormat="1" ht="30" customHeight="1" x14ac:dyDescent="0.3">
      <c r="A27" s="71">
        <f t="shared" si="0"/>
        <v>24</v>
      </c>
      <c r="B27" s="71">
        <v>0</v>
      </c>
      <c r="C27" s="71" t="s">
        <v>1207</v>
      </c>
      <c r="D27" s="71" t="s">
        <v>1077</v>
      </c>
      <c r="E27" s="72" t="s">
        <v>1208</v>
      </c>
      <c r="F27" s="71" t="s">
        <v>932</v>
      </c>
      <c r="G27" s="71" t="s">
        <v>933</v>
      </c>
      <c r="H27" s="71" t="s">
        <v>172</v>
      </c>
      <c r="I27" s="71" t="s">
        <v>239</v>
      </c>
      <c r="J27" s="71" t="s">
        <v>31</v>
      </c>
      <c r="K27" s="71" t="s">
        <v>163</v>
      </c>
      <c r="L27" s="71" t="s">
        <v>163</v>
      </c>
      <c r="M27" s="71" t="s">
        <v>1052</v>
      </c>
      <c r="N27" s="71"/>
      <c r="O27" s="71"/>
      <c r="P27" s="71"/>
      <c r="Q27" s="71"/>
      <c r="R27" s="71"/>
      <c r="S27" s="71"/>
      <c r="T27" s="71"/>
      <c r="U27" s="72"/>
      <c r="V27" s="72"/>
      <c r="W27" s="71"/>
      <c r="X27" s="72"/>
    </row>
    <row r="28" spans="1:24" s="3" customFormat="1" ht="30" customHeight="1" x14ac:dyDescent="0.3">
      <c r="A28" s="14">
        <f t="shared" si="0"/>
        <v>25</v>
      </c>
      <c r="B28" s="15" t="s">
        <v>172</v>
      </c>
      <c r="C28" s="15" t="s">
        <v>1078</v>
      </c>
      <c r="D28" s="15" t="s">
        <v>1079</v>
      </c>
      <c r="E28" s="19" t="s">
        <v>1061</v>
      </c>
      <c r="F28" s="15" t="s">
        <v>932</v>
      </c>
      <c r="G28" s="15" t="s">
        <v>933</v>
      </c>
      <c r="H28" s="14" t="s">
        <v>172</v>
      </c>
      <c r="I28" s="14" t="s">
        <v>1205</v>
      </c>
      <c r="J28" s="14" t="s">
        <v>31</v>
      </c>
      <c r="K28" s="14" t="s">
        <v>163</v>
      </c>
      <c r="L28" s="14" t="s">
        <v>1063</v>
      </c>
      <c r="M28" s="14" t="s">
        <v>1051</v>
      </c>
      <c r="N28" s="14"/>
      <c r="O28" s="14"/>
      <c r="P28" s="14"/>
      <c r="Q28" s="14"/>
      <c r="R28" s="14"/>
      <c r="S28" s="14"/>
      <c r="T28" s="14"/>
      <c r="U28" s="5"/>
      <c r="V28" s="5"/>
      <c r="W28" s="14"/>
      <c r="X28" s="5"/>
    </row>
    <row r="29" spans="1:24" s="3" customFormat="1" ht="30" customHeight="1" x14ac:dyDescent="0.3">
      <c r="A29" s="14">
        <f t="shared" si="0"/>
        <v>26</v>
      </c>
      <c r="B29" s="15" t="s">
        <v>172</v>
      </c>
      <c r="C29" s="15" t="s">
        <v>1080</v>
      </c>
      <c r="D29" s="15" t="s">
        <v>1081</v>
      </c>
      <c r="E29" s="19" t="s">
        <v>1064</v>
      </c>
      <c r="F29" s="15" t="s">
        <v>932</v>
      </c>
      <c r="G29" s="15" t="s">
        <v>933</v>
      </c>
      <c r="H29" s="14" t="s">
        <v>172</v>
      </c>
      <c r="I29" s="14" t="s">
        <v>711</v>
      </c>
      <c r="J29" s="14" t="s">
        <v>30</v>
      </c>
      <c r="K29" s="14"/>
      <c r="L29" s="14" t="s">
        <v>163</v>
      </c>
      <c r="M29" s="14" t="s">
        <v>163</v>
      </c>
      <c r="N29" s="14"/>
      <c r="O29" s="14"/>
      <c r="P29" s="14"/>
      <c r="Q29" s="14"/>
      <c r="R29" s="14"/>
      <c r="S29" s="14"/>
      <c r="T29" s="14"/>
      <c r="U29" s="5"/>
      <c r="V29" s="5"/>
      <c r="W29" s="14"/>
      <c r="X29" s="5"/>
    </row>
    <row r="30" spans="1:24" s="3" customFormat="1" ht="30" customHeight="1" x14ac:dyDescent="0.3">
      <c r="A30" s="14">
        <f t="shared" si="0"/>
        <v>27</v>
      </c>
      <c r="B30" s="15" t="s">
        <v>172</v>
      </c>
      <c r="C30" s="15" t="s">
        <v>1082</v>
      </c>
      <c r="D30" s="15" t="s">
        <v>1083</v>
      </c>
      <c r="E30" s="19" t="s">
        <v>1059</v>
      </c>
      <c r="F30" s="15" t="s">
        <v>934</v>
      </c>
      <c r="G30" s="15" t="s">
        <v>933</v>
      </c>
      <c r="H30" s="14" t="s">
        <v>172</v>
      </c>
      <c r="I30" s="14" t="s">
        <v>1205</v>
      </c>
      <c r="J30" s="14" t="s">
        <v>31</v>
      </c>
      <c r="K30" s="14" t="s">
        <v>163</v>
      </c>
      <c r="L30" s="14" t="s">
        <v>242</v>
      </c>
      <c r="M30" s="14" t="s">
        <v>243</v>
      </c>
      <c r="N30" s="14"/>
      <c r="O30" s="14"/>
      <c r="P30" s="14"/>
      <c r="Q30" s="14"/>
      <c r="R30" s="14"/>
      <c r="S30" s="14"/>
      <c r="T30" s="14"/>
      <c r="U30" s="5"/>
      <c r="V30" s="5"/>
      <c r="W30" s="14"/>
      <c r="X30" s="5"/>
    </row>
    <row r="31" spans="1:24" s="73" customFormat="1" ht="30" customHeight="1" x14ac:dyDescent="0.3">
      <c r="A31" s="71">
        <f t="shared" si="0"/>
        <v>28</v>
      </c>
      <c r="B31" s="71">
        <v>0</v>
      </c>
      <c r="C31" s="71" t="s">
        <v>1209</v>
      </c>
      <c r="D31" s="71" t="s">
        <v>1211</v>
      </c>
      <c r="E31" s="72" t="s">
        <v>1225</v>
      </c>
      <c r="F31" s="71" t="s">
        <v>1212</v>
      </c>
      <c r="G31" s="71" t="s">
        <v>933</v>
      </c>
      <c r="H31" s="71" t="s">
        <v>172</v>
      </c>
      <c r="I31" s="71" t="s">
        <v>239</v>
      </c>
      <c r="J31" s="71" t="s">
        <v>31</v>
      </c>
      <c r="K31" s="71" t="s">
        <v>163</v>
      </c>
      <c r="L31" s="71" t="s">
        <v>163</v>
      </c>
      <c r="M31" s="71" t="s">
        <v>1062</v>
      </c>
      <c r="N31" s="71"/>
      <c r="O31" s="71"/>
      <c r="P31" s="71"/>
      <c r="Q31" s="71"/>
      <c r="R31" s="71"/>
      <c r="S31" s="71"/>
      <c r="T31" s="71"/>
      <c r="U31" s="72"/>
      <c r="V31" s="72"/>
      <c r="W31" s="71"/>
      <c r="X31" s="72"/>
    </row>
    <row r="32" spans="1:24" s="73" customFormat="1" ht="30" customHeight="1" x14ac:dyDescent="0.3">
      <c r="A32" s="71">
        <f t="shared" si="0"/>
        <v>29</v>
      </c>
      <c r="B32" s="71">
        <v>0</v>
      </c>
      <c r="C32" s="71" t="s">
        <v>1210</v>
      </c>
      <c r="D32" s="71" t="s">
        <v>1211</v>
      </c>
      <c r="E32" s="72" t="s">
        <v>1208</v>
      </c>
      <c r="F32" s="71" t="s">
        <v>1212</v>
      </c>
      <c r="G32" s="71" t="s">
        <v>933</v>
      </c>
      <c r="H32" s="71" t="s">
        <v>172</v>
      </c>
      <c r="I32" s="71" t="s">
        <v>239</v>
      </c>
      <c r="J32" s="71" t="s">
        <v>31</v>
      </c>
      <c r="K32" s="71" t="s">
        <v>163</v>
      </c>
      <c r="L32" s="71" t="s">
        <v>163</v>
      </c>
      <c r="M32" s="71" t="s">
        <v>1052</v>
      </c>
      <c r="N32" s="71"/>
      <c r="O32" s="71"/>
      <c r="P32" s="71"/>
      <c r="Q32" s="71"/>
      <c r="R32" s="71"/>
      <c r="S32" s="71"/>
      <c r="T32" s="71"/>
      <c r="U32" s="72"/>
      <c r="V32" s="72"/>
      <c r="W32" s="71"/>
      <c r="X32" s="72"/>
    </row>
    <row r="33" spans="1:24" s="3" customFormat="1" ht="30" customHeight="1" x14ac:dyDescent="0.3">
      <c r="A33" s="14">
        <f t="shared" si="0"/>
        <v>30</v>
      </c>
      <c r="B33" s="15" t="s">
        <v>172</v>
      </c>
      <c r="C33" s="15" t="s">
        <v>1084</v>
      </c>
      <c r="D33" s="15" t="s">
        <v>1085</v>
      </c>
      <c r="E33" s="19" t="s">
        <v>1061</v>
      </c>
      <c r="F33" s="15" t="s">
        <v>934</v>
      </c>
      <c r="G33" s="15" t="s">
        <v>933</v>
      </c>
      <c r="H33" s="14" t="s">
        <v>172</v>
      </c>
      <c r="I33" s="14" t="s">
        <v>1205</v>
      </c>
      <c r="J33" s="14" t="s">
        <v>31</v>
      </c>
      <c r="K33" s="14" t="s">
        <v>163</v>
      </c>
      <c r="L33" s="14" t="s">
        <v>1063</v>
      </c>
      <c r="M33" s="14" t="s">
        <v>1051</v>
      </c>
      <c r="N33" s="14"/>
      <c r="O33" s="14"/>
      <c r="P33" s="14"/>
      <c r="Q33" s="14"/>
      <c r="R33" s="14"/>
      <c r="S33" s="14"/>
      <c r="T33" s="14"/>
      <c r="U33" s="5"/>
      <c r="V33" s="5"/>
      <c r="W33" s="14"/>
      <c r="X33" s="5"/>
    </row>
    <row r="34" spans="1:24" s="3" customFormat="1" ht="30" customHeight="1" x14ac:dyDescent="0.3">
      <c r="A34" s="14">
        <f t="shared" si="0"/>
        <v>31</v>
      </c>
      <c r="B34" s="15" t="s">
        <v>172</v>
      </c>
      <c r="C34" s="15" t="s">
        <v>1086</v>
      </c>
      <c r="D34" s="15" t="s">
        <v>1087</v>
      </c>
      <c r="E34" s="19" t="s">
        <v>1064</v>
      </c>
      <c r="F34" s="15" t="s">
        <v>934</v>
      </c>
      <c r="G34" s="15" t="s">
        <v>933</v>
      </c>
      <c r="H34" s="14" t="s">
        <v>172</v>
      </c>
      <c r="I34" s="14" t="s">
        <v>711</v>
      </c>
      <c r="J34" s="14" t="s">
        <v>30</v>
      </c>
      <c r="K34" s="14"/>
      <c r="L34" s="14" t="s">
        <v>163</v>
      </c>
      <c r="M34" s="14" t="s">
        <v>163</v>
      </c>
      <c r="N34" s="14"/>
      <c r="O34" s="14"/>
      <c r="P34" s="14"/>
      <c r="Q34" s="14"/>
      <c r="R34" s="14"/>
      <c r="S34" s="14"/>
      <c r="T34" s="14"/>
      <c r="U34" s="5"/>
      <c r="V34" s="5"/>
      <c r="W34" s="14"/>
      <c r="X34" s="5"/>
    </row>
    <row r="35" spans="1:24" s="3" customFormat="1" ht="30" customHeight="1" x14ac:dyDescent="0.3">
      <c r="A35" s="14">
        <f t="shared" si="0"/>
        <v>32</v>
      </c>
      <c r="B35" s="15" t="s">
        <v>172</v>
      </c>
      <c r="C35" s="15" t="s">
        <v>1088</v>
      </c>
      <c r="D35" s="15" t="s">
        <v>1089</v>
      </c>
      <c r="E35" s="19" t="s">
        <v>1059</v>
      </c>
      <c r="F35" s="15" t="s">
        <v>935</v>
      </c>
      <c r="G35" s="15" t="s">
        <v>933</v>
      </c>
      <c r="H35" s="14" t="s">
        <v>172</v>
      </c>
      <c r="I35" s="14" t="s">
        <v>1205</v>
      </c>
      <c r="J35" s="14" t="s">
        <v>31</v>
      </c>
      <c r="K35" s="14" t="s">
        <v>163</v>
      </c>
      <c r="L35" s="14" t="s">
        <v>242</v>
      </c>
      <c r="M35" s="14" t="s">
        <v>243</v>
      </c>
      <c r="N35" s="14"/>
      <c r="O35" s="14"/>
      <c r="P35" s="14"/>
      <c r="Q35" s="14"/>
      <c r="R35" s="14"/>
      <c r="S35" s="14"/>
      <c r="T35" s="14"/>
      <c r="U35" s="5"/>
      <c r="V35" s="5"/>
      <c r="W35" s="14"/>
      <c r="X35" s="5"/>
    </row>
    <row r="36" spans="1:24" s="73" customFormat="1" ht="30" customHeight="1" x14ac:dyDescent="0.3">
      <c r="A36" s="71">
        <f t="shared" si="0"/>
        <v>33</v>
      </c>
      <c r="B36" s="71">
        <v>0</v>
      </c>
      <c r="C36" s="71" t="s">
        <v>1213</v>
      </c>
      <c r="D36" s="71" t="s">
        <v>1214</v>
      </c>
      <c r="E36" s="72" t="s">
        <v>1225</v>
      </c>
      <c r="F36" s="71" t="s">
        <v>1215</v>
      </c>
      <c r="G36" s="71" t="s">
        <v>933</v>
      </c>
      <c r="H36" s="71" t="s">
        <v>172</v>
      </c>
      <c r="I36" s="71" t="s">
        <v>239</v>
      </c>
      <c r="J36" s="71" t="s">
        <v>31</v>
      </c>
      <c r="K36" s="71" t="s">
        <v>163</v>
      </c>
      <c r="L36" s="71" t="s">
        <v>163</v>
      </c>
      <c r="M36" s="71" t="s">
        <v>1062</v>
      </c>
      <c r="N36" s="71"/>
      <c r="O36" s="71"/>
      <c r="P36" s="71"/>
      <c r="Q36" s="71"/>
      <c r="R36" s="71"/>
      <c r="S36" s="71"/>
      <c r="T36" s="71"/>
      <c r="U36" s="72"/>
      <c r="V36" s="72"/>
      <c r="W36" s="71"/>
      <c r="X36" s="72"/>
    </row>
    <row r="37" spans="1:24" s="73" customFormat="1" ht="30" customHeight="1" x14ac:dyDescent="0.3">
      <c r="A37" s="71">
        <f t="shared" si="0"/>
        <v>34</v>
      </c>
      <c r="B37" s="71">
        <v>0</v>
      </c>
      <c r="C37" s="71" t="s">
        <v>1216</v>
      </c>
      <c r="D37" s="71" t="s">
        <v>1214</v>
      </c>
      <c r="E37" s="72" t="s">
        <v>1208</v>
      </c>
      <c r="F37" s="71" t="s">
        <v>1215</v>
      </c>
      <c r="G37" s="71" t="s">
        <v>933</v>
      </c>
      <c r="H37" s="71" t="s">
        <v>172</v>
      </c>
      <c r="I37" s="71" t="s">
        <v>239</v>
      </c>
      <c r="J37" s="71" t="s">
        <v>31</v>
      </c>
      <c r="K37" s="71" t="s">
        <v>163</v>
      </c>
      <c r="L37" s="71" t="s">
        <v>163</v>
      </c>
      <c r="M37" s="71" t="s">
        <v>1052</v>
      </c>
      <c r="N37" s="71"/>
      <c r="O37" s="71"/>
      <c r="P37" s="71"/>
      <c r="Q37" s="71"/>
      <c r="R37" s="71"/>
      <c r="S37" s="71"/>
      <c r="T37" s="71"/>
      <c r="U37" s="72"/>
      <c r="V37" s="72"/>
      <c r="W37" s="71"/>
      <c r="X37" s="72"/>
    </row>
    <row r="38" spans="1:24" s="3" customFormat="1" ht="30" customHeight="1" x14ac:dyDescent="0.3">
      <c r="A38" s="14">
        <f t="shared" si="0"/>
        <v>35</v>
      </c>
      <c r="B38" s="15" t="s">
        <v>172</v>
      </c>
      <c r="C38" s="15" t="s">
        <v>1090</v>
      </c>
      <c r="D38" s="15" t="s">
        <v>1091</v>
      </c>
      <c r="E38" s="19" t="s">
        <v>1061</v>
      </c>
      <c r="F38" s="15" t="s">
        <v>935</v>
      </c>
      <c r="G38" s="15" t="s">
        <v>933</v>
      </c>
      <c r="H38" s="14" t="s">
        <v>172</v>
      </c>
      <c r="I38" s="14" t="s">
        <v>1205</v>
      </c>
      <c r="J38" s="14" t="s">
        <v>31</v>
      </c>
      <c r="K38" s="14" t="s">
        <v>163</v>
      </c>
      <c r="L38" s="14" t="s">
        <v>1063</v>
      </c>
      <c r="M38" s="14" t="s">
        <v>1051</v>
      </c>
      <c r="N38" s="14"/>
      <c r="O38" s="14"/>
      <c r="P38" s="14"/>
      <c r="Q38" s="14"/>
      <c r="R38" s="14"/>
      <c r="S38" s="14"/>
      <c r="T38" s="14"/>
      <c r="U38" s="5"/>
      <c r="V38" s="5"/>
      <c r="W38" s="14"/>
      <c r="X38" s="5"/>
    </row>
    <row r="39" spans="1:24" s="3" customFormat="1" ht="30" customHeight="1" x14ac:dyDescent="0.3">
      <c r="A39" s="14">
        <f t="shared" si="0"/>
        <v>36</v>
      </c>
      <c r="B39" s="15" t="s">
        <v>172</v>
      </c>
      <c r="C39" s="15" t="s">
        <v>1092</v>
      </c>
      <c r="D39" s="15" t="s">
        <v>1093</v>
      </c>
      <c r="E39" s="19" t="s">
        <v>1064</v>
      </c>
      <c r="F39" s="15" t="s">
        <v>935</v>
      </c>
      <c r="G39" s="15" t="s">
        <v>933</v>
      </c>
      <c r="H39" s="14" t="s">
        <v>172</v>
      </c>
      <c r="I39" s="14" t="s">
        <v>711</v>
      </c>
      <c r="J39" s="14" t="s">
        <v>30</v>
      </c>
      <c r="K39" s="14"/>
      <c r="L39" s="14" t="s">
        <v>163</v>
      </c>
      <c r="M39" s="14" t="s">
        <v>163</v>
      </c>
      <c r="N39" s="14"/>
      <c r="O39" s="14"/>
      <c r="P39" s="14"/>
      <c r="Q39" s="14"/>
      <c r="R39" s="14"/>
      <c r="S39" s="14"/>
      <c r="T39" s="14"/>
      <c r="U39" s="5"/>
      <c r="V39" s="5"/>
      <c r="W39" s="14"/>
      <c r="X39" s="5"/>
    </row>
    <row r="40" spans="1:24" s="3" customFormat="1" ht="30" customHeight="1" x14ac:dyDescent="0.3">
      <c r="A40" s="14">
        <f t="shared" si="0"/>
        <v>37</v>
      </c>
      <c r="B40" s="15" t="s">
        <v>172</v>
      </c>
      <c r="C40" s="15" t="s">
        <v>1094</v>
      </c>
      <c r="D40" s="15" t="s">
        <v>1095</v>
      </c>
      <c r="E40" s="19" t="s">
        <v>1059</v>
      </c>
      <c r="F40" s="15" t="s">
        <v>936</v>
      </c>
      <c r="G40" s="15" t="s">
        <v>933</v>
      </c>
      <c r="H40" s="14" t="s">
        <v>172</v>
      </c>
      <c r="I40" s="14" t="s">
        <v>1205</v>
      </c>
      <c r="J40" s="14" t="s">
        <v>31</v>
      </c>
      <c r="K40" s="14" t="s">
        <v>163</v>
      </c>
      <c r="L40" s="14" t="s">
        <v>242</v>
      </c>
      <c r="M40" s="14" t="s">
        <v>243</v>
      </c>
      <c r="N40" s="14"/>
      <c r="O40" s="14"/>
      <c r="P40" s="14"/>
      <c r="Q40" s="14"/>
      <c r="R40" s="14"/>
      <c r="S40" s="14"/>
      <c r="T40" s="14"/>
      <c r="U40" s="5"/>
      <c r="V40" s="5"/>
      <c r="W40" s="14"/>
      <c r="X40" s="5"/>
    </row>
    <row r="41" spans="1:24" s="73" customFormat="1" ht="30" customHeight="1" x14ac:dyDescent="0.3">
      <c r="A41" s="71">
        <f t="shared" si="0"/>
        <v>38</v>
      </c>
      <c r="B41" s="71">
        <v>0</v>
      </c>
      <c r="C41" s="71" t="s">
        <v>1217</v>
      </c>
      <c r="D41" s="71" t="s">
        <v>1218</v>
      </c>
      <c r="E41" s="72" t="s">
        <v>1225</v>
      </c>
      <c r="F41" s="71" t="s">
        <v>1219</v>
      </c>
      <c r="G41" s="71" t="s">
        <v>933</v>
      </c>
      <c r="H41" s="71" t="s">
        <v>172</v>
      </c>
      <c r="I41" s="71" t="s">
        <v>239</v>
      </c>
      <c r="J41" s="71" t="s">
        <v>31</v>
      </c>
      <c r="K41" s="71" t="s">
        <v>163</v>
      </c>
      <c r="L41" s="71" t="s">
        <v>163</v>
      </c>
      <c r="M41" s="71" t="s">
        <v>1062</v>
      </c>
      <c r="N41" s="71"/>
      <c r="O41" s="71"/>
      <c r="P41" s="71"/>
      <c r="Q41" s="71"/>
      <c r="R41" s="71"/>
      <c r="S41" s="71"/>
      <c r="T41" s="71"/>
      <c r="U41" s="72"/>
      <c r="V41" s="72"/>
      <c r="W41" s="71"/>
      <c r="X41" s="72"/>
    </row>
    <row r="42" spans="1:24" s="73" customFormat="1" ht="30" customHeight="1" x14ac:dyDescent="0.3">
      <c r="A42" s="71">
        <f t="shared" si="0"/>
        <v>39</v>
      </c>
      <c r="B42" s="71">
        <v>0</v>
      </c>
      <c r="C42" s="71" t="s">
        <v>1220</v>
      </c>
      <c r="D42" s="71" t="s">
        <v>1218</v>
      </c>
      <c r="E42" s="72" t="s">
        <v>1208</v>
      </c>
      <c r="F42" s="71" t="s">
        <v>1219</v>
      </c>
      <c r="G42" s="71" t="s">
        <v>933</v>
      </c>
      <c r="H42" s="71" t="s">
        <v>172</v>
      </c>
      <c r="I42" s="71" t="s">
        <v>239</v>
      </c>
      <c r="J42" s="71" t="s">
        <v>31</v>
      </c>
      <c r="K42" s="71" t="s">
        <v>163</v>
      </c>
      <c r="L42" s="71" t="s">
        <v>163</v>
      </c>
      <c r="M42" s="71" t="s">
        <v>1052</v>
      </c>
      <c r="N42" s="71"/>
      <c r="O42" s="71"/>
      <c r="P42" s="71"/>
      <c r="Q42" s="71"/>
      <c r="R42" s="71"/>
      <c r="S42" s="71"/>
      <c r="T42" s="71"/>
      <c r="U42" s="72"/>
      <c r="V42" s="72"/>
      <c r="W42" s="71"/>
      <c r="X42" s="72"/>
    </row>
    <row r="43" spans="1:24" s="3" customFormat="1" ht="30" customHeight="1" x14ac:dyDescent="0.3">
      <c r="A43" s="14">
        <f t="shared" si="0"/>
        <v>40</v>
      </c>
      <c r="B43" s="15" t="s">
        <v>172</v>
      </c>
      <c r="C43" s="15" t="s">
        <v>1096</v>
      </c>
      <c r="D43" s="15" t="s">
        <v>1097</v>
      </c>
      <c r="E43" s="19" t="s">
        <v>1061</v>
      </c>
      <c r="F43" s="15" t="s">
        <v>936</v>
      </c>
      <c r="G43" s="15" t="s">
        <v>933</v>
      </c>
      <c r="H43" s="14" t="s">
        <v>172</v>
      </c>
      <c r="I43" s="14" t="s">
        <v>1205</v>
      </c>
      <c r="J43" s="14" t="s">
        <v>31</v>
      </c>
      <c r="K43" s="14" t="s">
        <v>163</v>
      </c>
      <c r="L43" s="14" t="s">
        <v>1063</v>
      </c>
      <c r="M43" s="14" t="s">
        <v>1051</v>
      </c>
      <c r="N43" s="14"/>
      <c r="O43" s="14"/>
      <c r="P43" s="14"/>
      <c r="Q43" s="14"/>
      <c r="R43" s="14"/>
      <c r="S43" s="14"/>
      <c r="T43" s="14"/>
      <c r="U43" s="5"/>
      <c r="V43" s="5"/>
      <c r="W43" s="14"/>
      <c r="X43" s="5"/>
    </row>
    <row r="44" spans="1:24" s="3" customFormat="1" ht="30" customHeight="1" x14ac:dyDescent="0.3">
      <c r="A44" s="14">
        <f t="shared" si="0"/>
        <v>41</v>
      </c>
      <c r="B44" s="15" t="s">
        <v>172</v>
      </c>
      <c r="C44" s="15" t="s">
        <v>1098</v>
      </c>
      <c r="D44" s="15" t="s">
        <v>1099</v>
      </c>
      <c r="E44" s="19" t="s">
        <v>1064</v>
      </c>
      <c r="F44" s="15" t="s">
        <v>936</v>
      </c>
      <c r="G44" s="15" t="s">
        <v>933</v>
      </c>
      <c r="H44" s="14" t="s">
        <v>172</v>
      </c>
      <c r="I44" s="14" t="s">
        <v>711</v>
      </c>
      <c r="J44" s="14" t="s">
        <v>30</v>
      </c>
      <c r="K44" s="14"/>
      <c r="L44" s="14" t="s">
        <v>163</v>
      </c>
      <c r="M44" s="14" t="s">
        <v>163</v>
      </c>
      <c r="N44" s="14"/>
      <c r="O44" s="14"/>
      <c r="P44" s="14"/>
      <c r="Q44" s="14"/>
      <c r="R44" s="14"/>
      <c r="S44" s="14"/>
      <c r="T44" s="14"/>
      <c r="U44" s="5"/>
      <c r="V44" s="5"/>
      <c r="W44" s="14"/>
      <c r="X44" s="5"/>
    </row>
    <row r="45" spans="1:24" s="3" customFormat="1" ht="30" customHeight="1" x14ac:dyDescent="0.3">
      <c r="A45" s="14">
        <f t="shared" si="0"/>
        <v>42</v>
      </c>
      <c r="B45" s="15" t="s">
        <v>172</v>
      </c>
      <c r="C45" s="15" t="s">
        <v>1100</v>
      </c>
      <c r="D45" s="15" t="s">
        <v>1101</v>
      </c>
      <c r="E45" s="19" t="s">
        <v>1059</v>
      </c>
      <c r="F45" s="15" t="s">
        <v>937</v>
      </c>
      <c r="G45" s="15" t="s">
        <v>933</v>
      </c>
      <c r="H45" s="14" t="s">
        <v>172</v>
      </c>
      <c r="I45" s="14" t="s">
        <v>1205</v>
      </c>
      <c r="J45" s="14" t="s">
        <v>31</v>
      </c>
      <c r="K45" s="14" t="s">
        <v>163</v>
      </c>
      <c r="L45" s="14" t="s">
        <v>242</v>
      </c>
      <c r="M45" s="14" t="s">
        <v>243</v>
      </c>
      <c r="N45" s="14"/>
      <c r="O45" s="14"/>
      <c r="P45" s="14"/>
      <c r="Q45" s="14"/>
      <c r="R45" s="14"/>
      <c r="S45" s="14"/>
      <c r="T45" s="14"/>
      <c r="U45" s="5"/>
      <c r="V45" s="5"/>
      <c r="W45" s="14"/>
      <c r="X45" s="5"/>
    </row>
    <row r="46" spans="1:24" s="73" customFormat="1" ht="30" customHeight="1" x14ac:dyDescent="0.3">
      <c r="A46" s="71">
        <f t="shared" si="0"/>
        <v>43</v>
      </c>
      <c r="B46" s="71">
        <v>0</v>
      </c>
      <c r="C46" s="71" t="s">
        <v>1221</v>
      </c>
      <c r="D46" s="71" t="s">
        <v>1223</v>
      </c>
      <c r="E46" s="72" t="s">
        <v>1225</v>
      </c>
      <c r="F46" s="71" t="s">
        <v>1224</v>
      </c>
      <c r="G46" s="71" t="s">
        <v>933</v>
      </c>
      <c r="H46" s="71" t="s">
        <v>172</v>
      </c>
      <c r="I46" s="71" t="s">
        <v>239</v>
      </c>
      <c r="J46" s="71" t="s">
        <v>31</v>
      </c>
      <c r="K46" s="71" t="s">
        <v>163</v>
      </c>
      <c r="L46" s="71" t="s">
        <v>163</v>
      </c>
      <c r="M46" s="71" t="s">
        <v>1062</v>
      </c>
      <c r="N46" s="71"/>
      <c r="O46" s="71"/>
      <c r="P46" s="71"/>
      <c r="Q46" s="71"/>
      <c r="R46" s="71"/>
      <c r="S46" s="71"/>
      <c r="T46" s="71"/>
      <c r="U46" s="72"/>
      <c r="V46" s="72"/>
      <c r="W46" s="71"/>
      <c r="X46" s="72"/>
    </row>
    <row r="47" spans="1:24" s="73" customFormat="1" ht="30" customHeight="1" x14ac:dyDescent="0.3">
      <c r="A47" s="71">
        <f t="shared" si="0"/>
        <v>44</v>
      </c>
      <c r="B47" s="71">
        <v>0</v>
      </c>
      <c r="C47" s="71" t="s">
        <v>1222</v>
      </c>
      <c r="D47" s="71" t="s">
        <v>1223</v>
      </c>
      <c r="E47" s="72" t="s">
        <v>1208</v>
      </c>
      <c r="F47" s="71" t="s">
        <v>1224</v>
      </c>
      <c r="G47" s="71" t="s">
        <v>933</v>
      </c>
      <c r="H47" s="71" t="s">
        <v>172</v>
      </c>
      <c r="I47" s="71" t="s">
        <v>239</v>
      </c>
      <c r="J47" s="71" t="s">
        <v>31</v>
      </c>
      <c r="K47" s="71" t="s">
        <v>163</v>
      </c>
      <c r="L47" s="71" t="s">
        <v>163</v>
      </c>
      <c r="M47" s="71" t="s">
        <v>1052</v>
      </c>
      <c r="N47" s="71"/>
      <c r="O47" s="71"/>
      <c r="P47" s="71"/>
      <c r="Q47" s="71"/>
      <c r="R47" s="71"/>
      <c r="S47" s="71"/>
      <c r="T47" s="71"/>
      <c r="U47" s="72"/>
      <c r="V47" s="72"/>
      <c r="W47" s="71"/>
      <c r="X47" s="72"/>
    </row>
    <row r="48" spans="1:24" s="3" customFormat="1" ht="30" customHeight="1" x14ac:dyDescent="0.3">
      <c r="A48" s="14">
        <f t="shared" si="0"/>
        <v>45</v>
      </c>
      <c r="B48" s="15" t="s">
        <v>172</v>
      </c>
      <c r="C48" s="15" t="s">
        <v>1102</v>
      </c>
      <c r="D48" s="15" t="s">
        <v>1103</v>
      </c>
      <c r="E48" s="19" t="s">
        <v>1061</v>
      </c>
      <c r="F48" s="15" t="s">
        <v>937</v>
      </c>
      <c r="G48" s="15" t="s">
        <v>933</v>
      </c>
      <c r="H48" s="14" t="s">
        <v>172</v>
      </c>
      <c r="I48" s="14" t="s">
        <v>1205</v>
      </c>
      <c r="J48" s="14" t="s">
        <v>31</v>
      </c>
      <c r="K48" s="14" t="s">
        <v>163</v>
      </c>
      <c r="L48" s="14" t="s">
        <v>1063</v>
      </c>
      <c r="M48" s="14" t="s">
        <v>1051</v>
      </c>
      <c r="N48" s="14"/>
      <c r="O48" s="14"/>
      <c r="P48" s="14"/>
      <c r="Q48" s="14"/>
      <c r="R48" s="14"/>
      <c r="S48" s="14"/>
      <c r="T48" s="14"/>
      <c r="U48" s="5"/>
      <c r="V48" s="5"/>
      <c r="W48" s="14"/>
      <c r="X48" s="5"/>
    </row>
    <row r="49" spans="1:24" s="3" customFormat="1" ht="30" customHeight="1" x14ac:dyDescent="0.3">
      <c r="A49" s="14">
        <f t="shared" si="0"/>
        <v>46</v>
      </c>
      <c r="B49" s="15" t="s">
        <v>172</v>
      </c>
      <c r="C49" s="15" t="s">
        <v>1104</v>
      </c>
      <c r="D49" s="15" t="s">
        <v>1105</v>
      </c>
      <c r="E49" s="19" t="s">
        <v>1064</v>
      </c>
      <c r="F49" s="15" t="s">
        <v>937</v>
      </c>
      <c r="G49" s="15" t="s">
        <v>933</v>
      </c>
      <c r="H49" s="14" t="s">
        <v>172</v>
      </c>
      <c r="I49" s="14" t="s">
        <v>711</v>
      </c>
      <c r="J49" s="14" t="s">
        <v>30</v>
      </c>
      <c r="K49" s="14"/>
      <c r="L49" s="14" t="s">
        <v>163</v>
      </c>
      <c r="M49" s="14" t="s">
        <v>163</v>
      </c>
      <c r="N49" s="14"/>
      <c r="O49" s="14"/>
      <c r="P49" s="14"/>
      <c r="Q49" s="14"/>
      <c r="R49" s="14"/>
      <c r="S49" s="14"/>
      <c r="T49" s="14"/>
      <c r="U49" s="5"/>
      <c r="V49" s="5"/>
      <c r="W49" s="14"/>
      <c r="X49" s="5"/>
    </row>
    <row r="50" spans="1:24" s="3" customFormat="1" ht="30" customHeight="1" x14ac:dyDescent="0.3">
      <c r="A50" s="14">
        <f t="shared" si="0"/>
        <v>47</v>
      </c>
      <c r="B50" s="15" t="s">
        <v>172</v>
      </c>
      <c r="C50" s="15" t="s">
        <v>1106</v>
      </c>
      <c r="D50" s="15" t="s">
        <v>1107</v>
      </c>
      <c r="E50" s="19" t="s">
        <v>1059</v>
      </c>
      <c r="F50" s="15" t="s">
        <v>938</v>
      </c>
      <c r="G50" s="15" t="s">
        <v>933</v>
      </c>
      <c r="H50" s="14" t="s">
        <v>172</v>
      </c>
      <c r="I50" s="14" t="s">
        <v>1205</v>
      </c>
      <c r="J50" s="14" t="s">
        <v>31</v>
      </c>
      <c r="K50" s="14" t="s">
        <v>163</v>
      </c>
      <c r="L50" s="14" t="s">
        <v>242</v>
      </c>
      <c r="M50" s="14" t="s">
        <v>243</v>
      </c>
      <c r="N50" s="14"/>
      <c r="O50" s="14"/>
      <c r="P50" s="14"/>
      <c r="Q50" s="14"/>
      <c r="R50" s="14"/>
      <c r="S50" s="14"/>
      <c r="T50" s="14"/>
      <c r="U50" s="5"/>
      <c r="V50" s="5"/>
      <c r="W50" s="14"/>
      <c r="X50" s="5"/>
    </row>
    <row r="51" spans="1:24" s="73" customFormat="1" ht="30" customHeight="1" x14ac:dyDescent="0.3">
      <c r="A51" s="71">
        <f t="shared" si="0"/>
        <v>48</v>
      </c>
      <c r="B51" s="71">
        <v>0</v>
      </c>
      <c r="C51" s="71" t="s">
        <v>1226</v>
      </c>
      <c r="D51" s="71" t="s">
        <v>1227</v>
      </c>
      <c r="E51" s="72" t="s">
        <v>1225</v>
      </c>
      <c r="F51" s="71" t="s">
        <v>1228</v>
      </c>
      <c r="G51" s="71" t="s">
        <v>933</v>
      </c>
      <c r="H51" s="71" t="s">
        <v>172</v>
      </c>
      <c r="I51" s="71" t="s">
        <v>239</v>
      </c>
      <c r="J51" s="71" t="s">
        <v>31</v>
      </c>
      <c r="K51" s="71" t="s">
        <v>163</v>
      </c>
      <c r="L51" s="71" t="s">
        <v>163</v>
      </c>
      <c r="M51" s="71" t="s">
        <v>1062</v>
      </c>
      <c r="N51" s="71"/>
      <c r="O51" s="71"/>
      <c r="P51" s="71"/>
      <c r="Q51" s="71"/>
      <c r="R51" s="71"/>
      <c r="S51" s="71"/>
      <c r="T51" s="71"/>
      <c r="U51" s="72"/>
      <c r="V51" s="72"/>
      <c r="W51" s="71"/>
      <c r="X51" s="72"/>
    </row>
    <row r="52" spans="1:24" s="73" customFormat="1" ht="30" customHeight="1" x14ac:dyDescent="0.3">
      <c r="A52" s="71">
        <f t="shared" si="0"/>
        <v>49</v>
      </c>
      <c r="B52" s="71">
        <v>0</v>
      </c>
      <c r="C52" s="71" t="s">
        <v>1229</v>
      </c>
      <c r="D52" s="71" t="s">
        <v>1227</v>
      </c>
      <c r="E52" s="72" t="s">
        <v>1208</v>
      </c>
      <c r="F52" s="71" t="s">
        <v>1228</v>
      </c>
      <c r="G52" s="71" t="s">
        <v>933</v>
      </c>
      <c r="H52" s="71" t="s">
        <v>172</v>
      </c>
      <c r="I52" s="71" t="s">
        <v>239</v>
      </c>
      <c r="J52" s="71" t="s">
        <v>31</v>
      </c>
      <c r="K52" s="71" t="s">
        <v>163</v>
      </c>
      <c r="L52" s="71" t="s">
        <v>163</v>
      </c>
      <c r="M52" s="71" t="s">
        <v>1052</v>
      </c>
      <c r="N52" s="71"/>
      <c r="O52" s="71"/>
      <c r="P52" s="71"/>
      <c r="Q52" s="71"/>
      <c r="R52" s="71"/>
      <c r="S52" s="71"/>
      <c r="T52" s="71"/>
      <c r="U52" s="72"/>
      <c r="V52" s="72"/>
      <c r="W52" s="71"/>
      <c r="X52" s="72"/>
    </row>
    <row r="53" spans="1:24" s="3" customFormat="1" ht="30" customHeight="1" x14ac:dyDescent="0.3">
      <c r="A53" s="14">
        <f t="shared" si="0"/>
        <v>50</v>
      </c>
      <c r="B53" s="15" t="s">
        <v>172</v>
      </c>
      <c r="C53" s="15" t="s">
        <v>1108</v>
      </c>
      <c r="D53" s="15" t="s">
        <v>1109</v>
      </c>
      <c r="E53" s="19" t="s">
        <v>1061</v>
      </c>
      <c r="F53" s="15" t="s">
        <v>938</v>
      </c>
      <c r="G53" s="15" t="s">
        <v>933</v>
      </c>
      <c r="H53" s="14" t="s">
        <v>172</v>
      </c>
      <c r="I53" s="14" t="s">
        <v>1205</v>
      </c>
      <c r="J53" s="14" t="s">
        <v>31</v>
      </c>
      <c r="K53" s="14" t="s">
        <v>163</v>
      </c>
      <c r="L53" s="14" t="s">
        <v>1063</v>
      </c>
      <c r="M53" s="14" t="s">
        <v>1051</v>
      </c>
      <c r="N53" s="14"/>
      <c r="O53" s="14"/>
      <c r="P53" s="14"/>
      <c r="Q53" s="14"/>
      <c r="R53" s="14"/>
      <c r="S53" s="14"/>
      <c r="T53" s="14"/>
      <c r="U53" s="5"/>
      <c r="V53" s="5"/>
      <c r="W53" s="14"/>
      <c r="X53" s="5"/>
    </row>
    <row r="54" spans="1:24" s="3" customFormat="1" ht="30" customHeight="1" x14ac:dyDescent="0.3">
      <c r="A54" s="14">
        <f t="shared" si="0"/>
        <v>51</v>
      </c>
      <c r="B54" s="15" t="s">
        <v>172</v>
      </c>
      <c r="C54" s="15" t="s">
        <v>1110</v>
      </c>
      <c r="D54" s="15" t="s">
        <v>1111</v>
      </c>
      <c r="E54" s="19" t="s">
        <v>1064</v>
      </c>
      <c r="F54" s="15" t="s">
        <v>938</v>
      </c>
      <c r="G54" s="15" t="s">
        <v>933</v>
      </c>
      <c r="H54" s="14" t="s">
        <v>172</v>
      </c>
      <c r="I54" s="14" t="s">
        <v>711</v>
      </c>
      <c r="J54" s="14" t="s">
        <v>30</v>
      </c>
      <c r="K54" s="14"/>
      <c r="L54" s="14" t="s">
        <v>163</v>
      </c>
      <c r="M54" s="14" t="s">
        <v>163</v>
      </c>
      <c r="N54" s="14"/>
      <c r="O54" s="14"/>
      <c r="P54" s="14"/>
      <c r="Q54" s="14"/>
      <c r="R54" s="14"/>
      <c r="S54" s="14"/>
      <c r="T54" s="14"/>
      <c r="U54" s="5"/>
      <c r="V54" s="5"/>
      <c r="W54" s="14"/>
      <c r="X54" s="5"/>
    </row>
    <row r="55" spans="1:24" s="3" customFormat="1" ht="30" customHeight="1" x14ac:dyDescent="0.3">
      <c r="A55" s="14">
        <f t="shared" si="0"/>
        <v>52</v>
      </c>
      <c r="B55" s="15" t="s">
        <v>172</v>
      </c>
      <c r="C55" s="15" t="s">
        <v>1112</v>
      </c>
      <c r="D55" s="15" t="s">
        <v>1113</v>
      </c>
      <c r="E55" s="19" t="s">
        <v>1059</v>
      </c>
      <c r="F55" s="15" t="s">
        <v>939</v>
      </c>
      <c r="G55" s="15" t="s">
        <v>933</v>
      </c>
      <c r="H55" s="14" t="s">
        <v>172</v>
      </c>
      <c r="I55" s="14" t="s">
        <v>1205</v>
      </c>
      <c r="J55" s="14" t="s">
        <v>31</v>
      </c>
      <c r="K55" s="14" t="s">
        <v>163</v>
      </c>
      <c r="L55" s="14" t="s">
        <v>242</v>
      </c>
      <c r="M55" s="14" t="s">
        <v>243</v>
      </c>
      <c r="N55" s="14"/>
      <c r="O55" s="14"/>
      <c r="P55" s="14"/>
      <c r="Q55" s="14"/>
      <c r="R55" s="14"/>
      <c r="S55" s="14"/>
      <c r="T55" s="14"/>
      <c r="U55" s="5"/>
      <c r="V55" s="5"/>
      <c r="W55" s="14"/>
      <c r="X55" s="5"/>
    </row>
    <row r="56" spans="1:24" s="73" customFormat="1" ht="30" customHeight="1" x14ac:dyDescent="0.3">
      <c r="A56" s="71">
        <f t="shared" si="0"/>
        <v>53</v>
      </c>
      <c r="B56" s="71">
        <v>0</v>
      </c>
      <c r="C56" s="71" t="s">
        <v>1230</v>
      </c>
      <c r="D56" s="71" t="s">
        <v>1231</v>
      </c>
      <c r="E56" s="72" t="s">
        <v>1225</v>
      </c>
      <c r="F56" s="71" t="s">
        <v>1232</v>
      </c>
      <c r="G56" s="71" t="s">
        <v>933</v>
      </c>
      <c r="H56" s="71" t="s">
        <v>172</v>
      </c>
      <c r="I56" s="71" t="s">
        <v>239</v>
      </c>
      <c r="J56" s="71" t="s">
        <v>31</v>
      </c>
      <c r="K56" s="71" t="s">
        <v>163</v>
      </c>
      <c r="L56" s="71" t="s">
        <v>163</v>
      </c>
      <c r="M56" s="71" t="s">
        <v>1062</v>
      </c>
      <c r="N56" s="71"/>
      <c r="O56" s="71"/>
      <c r="P56" s="71"/>
      <c r="Q56" s="71"/>
      <c r="R56" s="71"/>
      <c r="S56" s="71"/>
      <c r="T56" s="71"/>
      <c r="U56" s="72"/>
      <c r="V56" s="72"/>
      <c r="W56" s="71"/>
      <c r="X56" s="72"/>
    </row>
    <row r="57" spans="1:24" s="73" customFormat="1" ht="30" customHeight="1" x14ac:dyDescent="0.3">
      <c r="A57" s="71">
        <f t="shared" si="0"/>
        <v>54</v>
      </c>
      <c r="B57" s="71">
        <v>0</v>
      </c>
      <c r="C57" s="71" t="s">
        <v>1233</v>
      </c>
      <c r="D57" s="71" t="s">
        <v>1231</v>
      </c>
      <c r="E57" s="72" t="s">
        <v>1208</v>
      </c>
      <c r="F57" s="71" t="s">
        <v>1232</v>
      </c>
      <c r="G57" s="71" t="s">
        <v>933</v>
      </c>
      <c r="H57" s="71" t="s">
        <v>172</v>
      </c>
      <c r="I57" s="71" t="s">
        <v>239</v>
      </c>
      <c r="J57" s="71" t="s">
        <v>31</v>
      </c>
      <c r="K57" s="71" t="s">
        <v>163</v>
      </c>
      <c r="L57" s="71" t="s">
        <v>163</v>
      </c>
      <c r="M57" s="71" t="s">
        <v>1052</v>
      </c>
      <c r="N57" s="71"/>
      <c r="O57" s="71"/>
      <c r="P57" s="71"/>
      <c r="Q57" s="71"/>
      <c r="R57" s="71"/>
      <c r="S57" s="71"/>
      <c r="T57" s="71"/>
      <c r="U57" s="72"/>
      <c r="V57" s="72"/>
      <c r="W57" s="71"/>
      <c r="X57" s="72"/>
    </row>
    <row r="58" spans="1:24" s="3" customFormat="1" ht="30" customHeight="1" x14ac:dyDescent="0.3">
      <c r="A58" s="14">
        <f t="shared" si="0"/>
        <v>55</v>
      </c>
      <c r="B58" s="15" t="s">
        <v>172</v>
      </c>
      <c r="C58" s="15" t="s">
        <v>1114</v>
      </c>
      <c r="D58" s="15" t="s">
        <v>1115</v>
      </c>
      <c r="E58" s="19" t="s">
        <v>1061</v>
      </c>
      <c r="F58" s="15" t="s">
        <v>939</v>
      </c>
      <c r="G58" s="15" t="s">
        <v>933</v>
      </c>
      <c r="H58" s="14" t="s">
        <v>172</v>
      </c>
      <c r="I58" s="14" t="s">
        <v>1205</v>
      </c>
      <c r="J58" s="14" t="s">
        <v>31</v>
      </c>
      <c r="K58" s="14" t="s">
        <v>163</v>
      </c>
      <c r="L58" s="14" t="s">
        <v>1063</v>
      </c>
      <c r="M58" s="14" t="s">
        <v>1051</v>
      </c>
      <c r="N58" s="14"/>
      <c r="O58" s="14"/>
      <c r="P58" s="14"/>
      <c r="Q58" s="14"/>
      <c r="R58" s="14"/>
      <c r="S58" s="14"/>
      <c r="T58" s="14"/>
      <c r="U58" s="5"/>
      <c r="V58" s="5"/>
      <c r="W58" s="14"/>
      <c r="X58" s="5"/>
    </row>
    <row r="59" spans="1:24" s="3" customFormat="1" ht="30" customHeight="1" x14ac:dyDescent="0.3">
      <c r="A59" s="14">
        <f t="shared" si="0"/>
        <v>56</v>
      </c>
      <c r="B59" s="71">
        <v>0</v>
      </c>
      <c r="C59" s="71" t="s">
        <v>1235</v>
      </c>
      <c r="D59" s="71" t="s">
        <v>1236</v>
      </c>
      <c r="E59" s="72" t="s">
        <v>1059</v>
      </c>
      <c r="F59" s="71" t="s">
        <v>1237</v>
      </c>
      <c r="G59" s="71" t="s">
        <v>1238</v>
      </c>
      <c r="H59" s="71" t="s">
        <v>172</v>
      </c>
      <c r="I59" s="71" t="s">
        <v>29</v>
      </c>
      <c r="J59" s="71" t="s">
        <v>31</v>
      </c>
      <c r="K59" s="71" t="s">
        <v>163</v>
      </c>
      <c r="L59" s="71" t="s">
        <v>242</v>
      </c>
      <c r="M59" s="71" t="s">
        <v>243</v>
      </c>
      <c r="N59" s="14"/>
      <c r="O59" s="14"/>
      <c r="P59" s="14"/>
      <c r="Q59" s="14"/>
      <c r="R59" s="14"/>
      <c r="S59" s="14"/>
      <c r="T59" s="14"/>
      <c r="U59" s="5"/>
      <c r="V59" s="5"/>
      <c r="W59" s="14"/>
      <c r="X59" s="5"/>
    </row>
    <row r="60" spans="1:24" s="3" customFormat="1" ht="30" customHeight="1" x14ac:dyDescent="0.3">
      <c r="A60" s="14">
        <f t="shared" si="0"/>
        <v>57</v>
      </c>
      <c r="B60" s="71">
        <v>0</v>
      </c>
      <c r="C60" s="71" t="s">
        <v>1243</v>
      </c>
      <c r="D60" s="71" t="s">
        <v>1242</v>
      </c>
      <c r="E60" s="72" t="s">
        <v>1225</v>
      </c>
      <c r="F60" s="71" t="s">
        <v>1237</v>
      </c>
      <c r="G60" s="71" t="s">
        <v>1238</v>
      </c>
      <c r="H60" s="71" t="s">
        <v>172</v>
      </c>
      <c r="I60" s="71" t="s">
        <v>239</v>
      </c>
      <c r="J60" s="71" t="s">
        <v>31</v>
      </c>
      <c r="K60" s="71" t="s">
        <v>163</v>
      </c>
      <c r="L60" s="71" t="s">
        <v>163</v>
      </c>
      <c r="M60" s="71" t="s">
        <v>1062</v>
      </c>
      <c r="N60" s="14"/>
      <c r="O60" s="14"/>
      <c r="P60" s="14"/>
      <c r="Q60" s="14"/>
      <c r="R60" s="14"/>
      <c r="S60" s="14"/>
      <c r="T60" s="14"/>
      <c r="U60" s="5"/>
      <c r="V60" s="5"/>
      <c r="W60" s="14"/>
      <c r="X60" s="5"/>
    </row>
    <row r="61" spans="1:24" s="3" customFormat="1" ht="30" customHeight="1" x14ac:dyDescent="0.3">
      <c r="A61" s="14">
        <f t="shared" si="0"/>
        <v>58</v>
      </c>
      <c r="B61" s="71">
        <v>0</v>
      </c>
      <c r="C61" s="71" t="s">
        <v>1244</v>
      </c>
      <c r="D61" s="71" t="s">
        <v>1242</v>
      </c>
      <c r="E61" s="72" t="s">
        <v>1208</v>
      </c>
      <c r="F61" s="71" t="s">
        <v>1237</v>
      </c>
      <c r="G61" s="71" t="s">
        <v>1238</v>
      </c>
      <c r="H61" s="71" t="s">
        <v>172</v>
      </c>
      <c r="I61" s="71" t="s">
        <v>239</v>
      </c>
      <c r="J61" s="71" t="s">
        <v>31</v>
      </c>
      <c r="K61" s="71" t="s">
        <v>163</v>
      </c>
      <c r="L61" s="71" t="s">
        <v>163</v>
      </c>
      <c r="M61" s="71" t="s">
        <v>1052</v>
      </c>
      <c r="N61" s="14"/>
      <c r="O61" s="14"/>
      <c r="P61" s="14"/>
      <c r="Q61" s="14"/>
      <c r="R61" s="14"/>
      <c r="S61" s="14"/>
      <c r="T61" s="14"/>
      <c r="U61" s="5"/>
      <c r="V61" s="5"/>
      <c r="W61" s="14"/>
      <c r="X61" s="5"/>
    </row>
    <row r="62" spans="1:24" s="3" customFormat="1" ht="30" customHeight="1" x14ac:dyDescent="0.3">
      <c r="A62" s="14">
        <f t="shared" si="0"/>
        <v>59</v>
      </c>
      <c r="B62" s="71">
        <v>0</v>
      </c>
      <c r="C62" s="71" t="s">
        <v>1239</v>
      </c>
      <c r="D62" s="71" t="s">
        <v>1240</v>
      </c>
      <c r="E62" s="72" t="s">
        <v>1061</v>
      </c>
      <c r="F62" s="71" t="s">
        <v>1237</v>
      </c>
      <c r="G62" s="71" t="s">
        <v>1238</v>
      </c>
      <c r="H62" s="71" t="s">
        <v>172</v>
      </c>
      <c r="I62" s="71" t="s">
        <v>29</v>
      </c>
      <c r="J62" s="71" t="s">
        <v>31</v>
      </c>
      <c r="K62" s="71" t="s">
        <v>163</v>
      </c>
      <c r="L62" s="71" t="s">
        <v>1063</v>
      </c>
      <c r="M62" s="71" t="s">
        <v>1051</v>
      </c>
      <c r="N62" s="14"/>
      <c r="O62" s="14"/>
      <c r="P62" s="14"/>
      <c r="Q62" s="14"/>
      <c r="R62" s="14"/>
      <c r="S62" s="14"/>
      <c r="T62" s="14"/>
      <c r="U62" s="5"/>
      <c r="V62" s="5"/>
      <c r="W62" s="14"/>
      <c r="X62" s="5"/>
    </row>
    <row r="63" spans="1:24" s="3" customFormat="1" ht="30" customHeight="1" x14ac:dyDescent="0.3">
      <c r="A63" s="14"/>
      <c r="B63" s="15"/>
      <c r="C63" s="15"/>
      <c r="D63" s="15"/>
      <c r="E63" s="19"/>
      <c r="F63" s="19"/>
      <c r="G63" s="19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5"/>
      <c r="V63" s="5"/>
      <c r="W63" s="14"/>
      <c r="X63" s="5"/>
    </row>
    <row r="64" spans="1:24" s="3" customFormat="1" ht="30" customHeight="1" x14ac:dyDescent="0.3">
      <c r="B64" s="2"/>
      <c r="C64" s="2"/>
      <c r="E64" s="4"/>
      <c r="F64" s="4"/>
      <c r="G64" s="2"/>
      <c r="H64" s="4"/>
      <c r="U64" s="4"/>
      <c r="V64" s="4"/>
      <c r="X64" s="4"/>
    </row>
    <row r="65" spans="2:24" s="3" customFormat="1" ht="30" customHeight="1" x14ac:dyDescent="0.3">
      <c r="B65" s="2"/>
      <c r="C65" s="2"/>
      <c r="E65" s="4"/>
      <c r="F65" s="4"/>
      <c r="G65" s="2"/>
      <c r="H65" s="4"/>
      <c r="U65" s="4"/>
      <c r="V65" s="4"/>
      <c r="X65" s="4"/>
    </row>
    <row r="66" spans="2:24" s="3" customFormat="1" ht="30" customHeight="1" x14ac:dyDescent="0.3">
      <c r="B66" s="2"/>
      <c r="C66" s="2"/>
      <c r="E66" s="4"/>
      <c r="F66" s="4"/>
      <c r="G66" s="2"/>
      <c r="H66" s="4"/>
      <c r="U66" s="4"/>
      <c r="V66" s="4"/>
      <c r="X66" s="4"/>
    </row>
    <row r="67" spans="2:24" s="3" customFormat="1" ht="30" customHeight="1" x14ac:dyDescent="0.3">
      <c r="B67" s="2"/>
      <c r="C67" s="2"/>
      <c r="E67" s="4"/>
      <c r="F67" s="4"/>
      <c r="G67" s="2"/>
      <c r="H67" s="4"/>
      <c r="U67" s="4"/>
      <c r="V67" s="4"/>
      <c r="X67" s="4"/>
    </row>
    <row r="68" spans="2:24" s="3" customFormat="1" ht="30" customHeight="1" x14ac:dyDescent="0.3">
      <c r="B68" s="2"/>
      <c r="C68" s="2"/>
      <c r="E68" s="4"/>
      <c r="F68" s="4"/>
      <c r="G68" s="2"/>
      <c r="H68" s="4"/>
      <c r="U68" s="4"/>
      <c r="V68" s="4"/>
      <c r="X68" s="4"/>
    </row>
    <row r="69" spans="2:24" s="3" customFormat="1" ht="30" customHeight="1" x14ac:dyDescent="0.3">
      <c r="B69" s="2"/>
      <c r="C69" s="2"/>
      <c r="E69" s="4"/>
      <c r="F69" s="4"/>
      <c r="G69" s="2"/>
      <c r="H69" s="4"/>
      <c r="U69" s="4"/>
      <c r="V69" s="4"/>
      <c r="X69" s="4"/>
    </row>
    <row r="70" spans="2:24" s="3" customFormat="1" ht="30" customHeight="1" x14ac:dyDescent="0.3">
      <c r="B70" s="2"/>
      <c r="C70" s="2"/>
      <c r="E70" s="4"/>
      <c r="F70" s="4"/>
      <c r="G70" s="2"/>
      <c r="H70" s="4"/>
      <c r="U70" s="4"/>
      <c r="V70" s="4"/>
      <c r="X70" s="4"/>
    </row>
    <row r="71" spans="2:24" s="3" customFormat="1" ht="30" customHeight="1" x14ac:dyDescent="0.3">
      <c r="B71" s="2"/>
      <c r="C71" s="2"/>
      <c r="E71" s="4"/>
      <c r="F71" s="4"/>
      <c r="G71" s="2"/>
      <c r="H71" s="4"/>
      <c r="U71" s="4"/>
      <c r="V71" s="4"/>
      <c r="X71" s="4"/>
    </row>
    <row r="72" spans="2:24" s="3" customFormat="1" ht="30" customHeight="1" x14ac:dyDescent="0.3">
      <c r="B72" s="2"/>
      <c r="C72" s="2"/>
      <c r="E72" s="4"/>
      <c r="F72" s="4"/>
      <c r="G72" s="2"/>
      <c r="H72" s="4"/>
      <c r="U72" s="4"/>
      <c r="V72" s="4"/>
      <c r="X72" s="4"/>
    </row>
    <row r="73" spans="2:24" s="3" customFormat="1" ht="30" customHeight="1" x14ac:dyDescent="0.3">
      <c r="B73" s="2"/>
      <c r="C73" s="2"/>
      <c r="E73" s="4"/>
      <c r="F73" s="4"/>
      <c r="G73" s="2"/>
      <c r="H73" s="4"/>
      <c r="U73" s="4"/>
      <c r="V73" s="4"/>
      <c r="X73" s="4"/>
    </row>
    <row r="74" spans="2:24" s="3" customFormat="1" ht="30" customHeight="1" x14ac:dyDescent="0.3">
      <c r="B74" s="2"/>
      <c r="C74" s="2"/>
      <c r="E74" s="4"/>
      <c r="F74" s="4"/>
      <c r="G74" s="2"/>
      <c r="H74" s="4"/>
      <c r="U74" s="4"/>
      <c r="V74" s="4"/>
      <c r="X74" s="4"/>
    </row>
    <row r="75" spans="2:24" s="3" customFormat="1" ht="30" customHeight="1" x14ac:dyDescent="0.3">
      <c r="B75" s="2"/>
      <c r="C75" s="2"/>
      <c r="E75" s="4"/>
      <c r="F75" s="4"/>
      <c r="G75" s="2"/>
      <c r="H75" s="4"/>
      <c r="U75" s="4"/>
      <c r="V75" s="4"/>
      <c r="X75" s="4"/>
    </row>
    <row r="76" spans="2:24" s="3" customFormat="1" ht="30" customHeight="1" x14ac:dyDescent="0.3">
      <c r="B76" s="2"/>
      <c r="C76" s="2"/>
      <c r="E76" s="4"/>
      <c r="F76" s="4"/>
      <c r="G76" s="2"/>
      <c r="H76" s="4"/>
      <c r="U76" s="4"/>
      <c r="V76" s="4"/>
      <c r="X76" s="4"/>
    </row>
    <row r="77" spans="2:24" s="3" customFormat="1" ht="30" customHeight="1" x14ac:dyDescent="0.3">
      <c r="B77" s="2"/>
      <c r="C77" s="2"/>
      <c r="E77" s="4"/>
      <c r="F77" s="4"/>
      <c r="G77" s="2"/>
      <c r="H77" s="4"/>
      <c r="U77" s="4"/>
      <c r="V77" s="4"/>
      <c r="X77" s="4"/>
    </row>
    <row r="78" spans="2:24" s="3" customFormat="1" ht="30" customHeight="1" x14ac:dyDescent="0.3">
      <c r="B78" s="2"/>
      <c r="C78" s="2"/>
      <c r="E78" s="4"/>
      <c r="F78" s="4"/>
      <c r="G78" s="2"/>
      <c r="H78" s="4"/>
      <c r="U78" s="4"/>
      <c r="V78" s="4"/>
      <c r="X78" s="4"/>
    </row>
    <row r="79" spans="2:24" s="3" customFormat="1" ht="30" customHeight="1" x14ac:dyDescent="0.3">
      <c r="B79" s="2"/>
      <c r="C79" s="2"/>
      <c r="E79" s="4"/>
      <c r="F79" s="4"/>
      <c r="G79" s="2"/>
      <c r="H79" s="4"/>
      <c r="U79" s="4"/>
      <c r="V79" s="4"/>
      <c r="X79" s="4"/>
    </row>
    <row r="80" spans="2:24" s="3" customFormat="1" ht="30" customHeight="1" x14ac:dyDescent="0.3">
      <c r="B80" s="2"/>
      <c r="C80" s="2"/>
      <c r="E80" s="4"/>
      <c r="F80" s="4"/>
      <c r="G80" s="2"/>
      <c r="H80" s="4"/>
      <c r="U80" s="4"/>
      <c r="V80" s="4"/>
      <c r="X80" s="4"/>
    </row>
    <row r="81" spans="2:24" s="3" customFormat="1" ht="30" customHeight="1" x14ac:dyDescent="0.3">
      <c r="B81" s="2"/>
      <c r="C81" s="2"/>
      <c r="E81" s="4"/>
      <c r="F81" s="4"/>
      <c r="G81" s="2"/>
      <c r="H81" s="4"/>
      <c r="U81" s="4"/>
      <c r="V81" s="4"/>
      <c r="X81" s="4"/>
    </row>
    <row r="82" spans="2:24" s="3" customFormat="1" ht="30" customHeight="1" x14ac:dyDescent="0.3">
      <c r="B82" s="2"/>
      <c r="C82" s="2"/>
      <c r="E82" s="4"/>
      <c r="F82" s="4"/>
      <c r="G82" s="2"/>
      <c r="H82" s="4"/>
      <c r="U82" s="4"/>
      <c r="V82" s="4"/>
      <c r="X82" s="4"/>
    </row>
    <row r="83" spans="2:24" s="3" customFormat="1" ht="30" customHeight="1" x14ac:dyDescent="0.3">
      <c r="B83" s="2"/>
      <c r="C83" s="2"/>
      <c r="E83" s="4"/>
      <c r="F83" s="4"/>
      <c r="G83" s="2"/>
      <c r="H83" s="4"/>
      <c r="U83" s="4"/>
      <c r="V83" s="4"/>
      <c r="X83" s="4"/>
    </row>
    <row r="84" spans="2:24" s="3" customFormat="1" ht="30" customHeight="1" x14ac:dyDescent="0.3">
      <c r="B84" s="2"/>
      <c r="C84" s="2"/>
      <c r="E84" s="4"/>
      <c r="F84" s="4"/>
      <c r="G84" s="2"/>
      <c r="H84" s="4"/>
      <c r="U84" s="4"/>
      <c r="V84" s="4"/>
      <c r="X84" s="4"/>
    </row>
    <row r="85" spans="2:24" s="3" customFormat="1" ht="30" customHeight="1" x14ac:dyDescent="0.3">
      <c r="B85" s="2"/>
      <c r="C85" s="2"/>
      <c r="E85" s="4"/>
      <c r="F85" s="4"/>
      <c r="G85" s="2"/>
      <c r="H85" s="4"/>
      <c r="U85" s="4"/>
      <c r="V85" s="4"/>
      <c r="X85" s="4"/>
    </row>
    <row r="86" spans="2:24" s="3" customFormat="1" ht="30" customHeight="1" x14ac:dyDescent="0.3">
      <c r="B86" s="2"/>
      <c r="C86" s="2"/>
      <c r="E86" s="4"/>
      <c r="F86" s="4"/>
      <c r="G86" s="4"/>
      <c r="H86" s="2"/>
      <c r="U86" s="4"/>
      <c r="V86" s="4"/>
      <c r="X86" s="4"/>
    </row>
    <row r="87" spans="2:24" s="3" customFormat="1" ht="30" customHeight="1" x14ac:dyDescent="0.3">
      <c r="B87" s="2"/>
      <c r="C87" s="2"/>
      <c r="E87" s="4"/>
      <c r="F87" s="4"/>
      <c r="G87" s="4"/>
      <c r="H87" s="2"/>
      <c r="U87" s="4"/>
      <c r="V87" s="4"/>
      <c r="X87" s="4"/>
    </row>
    <row r="88" spans="2:24" s="3" customFormat="1" ht="30" customHeight="1" x14ac:dyDescent="0.3">
      <c r="B88" s="2"/>
      <c r="C88" s="2"/>
      <c r="E88" s="4"/>
      <c r="F88" s="4"/>
      <c r="G88" s="4"/>
      <c r="H88" s="2"/>
      <c r="U88" s="4"/>
      <c r="V88" s="4"/>
      <c r="X88" s="4"/>
    </row>
    <row r="89" spans="2:24" s="3" customFormat="1" ht="30" customHeight="1" x14ac:dyDescent="0.3">
      <c r="B89" s="2"/>
      <c r="C89" s="2"/>
      <c r="E89" s="4"/>
      <c r="F89" s="4"/>
      <c r="G89" s="4"/>
      <c r="H89" s="2"/>
      <c r="U89" s="4"/>
      <c r="V89" s="4"/>
      <c r="X89" s="4"/>
    </row>
    <row r="90" spans="2:24" s="3" customFormat="1" ht="30" customHeight="1" x14ac:dyDescent="0.3">
      <c r="B90" s="2"/>
      <c r="C90" s="2"/>
      <c r="E90" s="4"/>
      <c r="F90" s="4"/>
      <c r="G90" s="4"/>
      <c r="H90" s="2"/>
      <c r="U90" s="4"/>
      <c r="V90" s="4"/>
      <c r="X90" s="4"/>
    </row>
    <row r="91" spans="2:24" s="3" customFormat="1" ht="30" customHeight="1" x14ac:dyDescent="0.3">
      <c r="B91" s="2"/>
      <c r="C91" s="2"/>
      <c r="E91" s="4"/>
      <c r="F91" s="4"/>
      <c r="G91" s="4"/>
      <c r="H91" s="2"/>
      <c r="U91" s="4"/>
      <c r="V91" s="4"/>
      <c r="X91" s="4"/>
    </row>
  </sheetData>
  <autoFilter ref="A3:Z91" xr:uid="{F56D1C5C-316D-4C1E-ACF4-D54CD57FC5B6}"/>
  <mergeCells count="20">
    <mergeCell ref="W1:W2"/>
    <mergeCell ref="X1:X2"/>
    <mergeCell ref="M1:M2"/>
    <mergeCell ref="N1:Q1"/>
    <mergeCell ref="R1:S1"/>
    <mergeCell ref="T1:T2"/>
    <mergeCell ref="U1:U2"/>
    <mergeCell ref="V1:V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honeticPr fontId="8" type="noConversion"/>
  <pageMargins left="0.70866141732283472" right="0.51181102362204722" top="0.55118110236220474" bottom="0.55118110236220474" header="0.31496062992125984" footer="0.31496062992125984"/>
  <pageSetup paperSize="8" scale="81" fitToHeight="0" orientation="landscape" r:id="rId1"/>
  <headerFooter>
    <oddFooter>&amp;R&amp;10PAGE &amp;P OF &amp;N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49B38-975C-472C-8E95-02A288F72B1A}">
  <sheetPr>
    <pageSetUpPr fitToPage="1"/>
  </sheetPr>
  <dimension ref="A1:Z39"/>
  <sheetViews>
    <sheetView view="pageBreakPreview" zoomScale="85" zoomScaleNormal="70" zoomScaleSheetLayoutView="85" workbookViewId="0">
      <pane xSplit="3" ySplit="3" topLeftCell="D4" activePane="bottomRight" state="frozen"/>
      <selection activeCell="O38" sqref="O38"/>
      <selection pane="topRight" activeCell="O38" sqref="O38"/>
      <selection pane="bottomLeft" activeCell="O38" sqref="O38"/>
      <selection pane="bottomRight" activeCell="A8" sqref="A8:XFD8"/>
    </sheetView>
  </sheetViews>
  <sheetFormatPr defaultColWidth="9.08203125" defaultRowHeight="30" customHeight="1" x14ac:dyDescent="0.3"/>
  <cols>
    <col min="1" max="1" width="5.75" style="3" customWidth="1"/>
    <col min="2" max="2" width="8.33203125" style="2" customWidth="1"/>
    <col min="3" max="3" width="13" style="2" customWidth="1"/>
    <col min="4" max="4" width="12.08203125" style="3" customWidth="1"/>
    <col min="5" max="5" width="23.58203125" style="24" customWidth="1"/>
    <col min="6" max="6" width="11.08203125" style="4" customWidth="1"/>
    <col min="7" max="7" width="15.58203125" style="4" customWidth="1"/>
    <col min="8" max="8" width="9.25" style="2" customWidth="1"/>
    <col min="9" max="9" width="9.08203125" style="3"/>
    <col min="10" max="10" width="10.83203125" style="3" customWidth="1"/>
    <col min="11" max="11" width="12.33203125" style="3" customWidth="1"/>
    <col min="12" max="13" width="9.08203125" style="3"/>
    <col min="14" max="20" width="7.58203125" style="3" customWidth="1"/>
    <col min="21" max="21" width="8.58203125" style="4" customWidth="1"/>
    <col min="22" max="22" width="9.08203125" style="4"/>
    <col min="23" max="23" width="9.08203125" style="3"/>
    <col min="24" max="24" width="9.08203125" style="4"/>
    <col min="25" max="26" width="9.08203125" style="3"/>
    <col min="27" max="16384" width="9.08203125" style="4"/>
  </cols>
  <sheetData>
    <row r="1" spans="1:26" ht="20.149999999999999" customHeight="1" x14ac:dyDescent="0.3">
      <c r="A1" s="134" t="s">
        <v>0</v>
      </c>
      <c r="B1" s="134" t="s">
        <v>1</v>
      </c>
      <c r="C1" s="134" t="s">
        <v>27</v>
      </c>
      <c r="D1" s="134" t="s">
        <v>2</v>
      </c>
      <c r="E1" s="134" t="s">
        <v>3</v>
      </c>
      <c r="F1" s="134" t="s">
        <v>4</v>
      </c>
      <c r="G1" s="134" t="s">
        <v>5</v>
      </c>
      <c r="H1" s="134" t="s">
        <v>6</v>
      </c>
      <c r="I1" s="134" t="s">
        <v>7</v>
      </c>
      <c r="J1" s="134" t="s">
        <v>8</v>
      </c>
      <c r="K1" s="135" t="s">
        <v>249</v>
      </c>
      <c r="L1" s="134" t="s">
        <v>9</v>
      </c>
      <c r="M1" s="134" t="s">
        <v>10</v>
      </c>
      <c r="N1" s="137" t="s">
        <v>11</v>
      </c>
      <c r="O1" s="137"/>
      <c r="P1" s="137"/>
      <c r="Q1" s="137"/>
      <c r="R1" s="137" t="s">
        <v>12</v>
      </c>
      <c r="S1" s="137"/>
      <c r="T1" s="134" t="s">
        <v>13</v>
      </c>
      <c r="U1" s="134" t="s">
        <v>14</v>
      </c>
      <c r="V1" s="134" t="s">
        <v>15</v>
      </c>
      <c r="W1" s="134" t="s">
        <v>16</v>
      </c>
      <c r="X1" s="134" t="s">
        <v>17</v>
      </c>
    </row>
    <row r="2" spans="1:26" ht="20.149999999999999" customHeight="1" x14ac:dyDescent="0.3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6"/>
      <c r="L2" s="134"/>
      <c r="M2" s="134"/>
      <c r="N2" s="18" t="s">
        <v>18</v>
      </c>
      <c r="O2" s="18" t="s">
        <v>19</v>
      </c>
      <c r="P2" s="18" t="s">
        <v>20</v>
      </c>
      <c r="Q2" s="18" t="s">
        <v>21</v>
      </c>
      <c r="R2" s="7">
        <v>0</v>
      </c>
      <c r="S2" s="7">
        <v>1</v>
      </c>
      <c r="T2" s="134"/>
      <c r="U2" s="134"/>
      <c r="V2" s="134"/>
      <c r="W2" s="134"/>
      <c r="X2" s="134"/>
      <c r="Y2" s="3" t="s">
        <v>22</v>
      </c>
      <c r="Z2" s="3" t="s">
        <v>23</v>
      </c>
    </row>
    <row r="3" spans="1:26" ht="30" customHeight="1" x14ac:dyDescent="0.3">
      <c r="A3" s="20" t="s">
        <v>575</v>
      </c>
      <c r="B3" s="21"/>
      <c r="C3" s="21"/>
      <c r="D3" s="22"/>
      <c r="E3" s="17"/>
      <c r="F3" s="17"/>
      <c r="G3" s="17"/>
      <c r="H3" s="17"/>
      <c r="I3" s="17"/>
      <c r="J3" s="17"/>
      <c r="K3" s="17"/>
      <c r="L3" s="17"/>
      <c r="M3" s="17"/>
      <c r="N3" s="18"/>
      <c r="O3" s="18"/>
      <c r="P3" s="18"/>
      <c r="Q3" s="18"/>
      <c r="R3" s="7"/>
      <c r="S3" s="7"/>
      <c r="T3" s="17"/>
      <c r="U3" s="17"/>
      <c r="V3" s="17"/>
      <c r="W3" s="17"/>
      <c r="X3" s="17"/>
    </row>
    <row r="4" spans="1:26" s="3" customFormat="1" ht="30" customHeight="1" x14ac:dyDescent="0.3">
      <c r="A4" s="14">
        <f>ROW()-3</f>
        <v>1</v>
      </c>
      <c r="B4" s="15" t="s">
        <v>172</v>
      </c>
      <c r="C4" s="15" t="s">
        <v>586</v>
      </c>
      <c r="D4" s="15" t="s">
        <v>587</v>
      </c>
      <c r="E4" s="19" t="s">
        <v>576</v>
      </c>
      <c r="F4" s="15" t="s">
        <v>577</v>
      </c>
      <c r="G4" s="15" t="s">
        <v>247</v>
      </c>
      <c r="H4" s="14" t="s">
        <v>171</v>
      </c>
      <c r="I4" s="14" t="s">
        <v>25</v>
      </c>
      <c r="J4" s="14" t="s">
        <v>30</v>
      </c>
      <c r="K4" s="14" t="s">
        <v>250</v>
      </c>
      <c r="L4" s="14" t="s">
        <v>163</v>
      </c>
      <c r="M4" s="14" t="s">
        <v>163</v>
      </c>
      <c r="N4" s="14"/>
      <c r="O4" s="14"/>
      <c r="P4" s="14"/>
      <c r="Q4" s="14"/>
      <c r="R4" s="23">
        <v>0</v>
      </c>
      <c r="S4" s="14">
        <v>16</v>
      </c>
      <c r="T4" s="5" t="s">
        <v>160</v>
      </c>
      <c r="U4" s="5"/>
      <c r="V4" s="5"/>
      <c r="W4" s="14"/>
      <c r="X4" s="5" t="s">
        <v>253</v>
      </c>
    </row>
    <row r="5" spans="1:26" s="3" customFormat="1" ht="30" customHeight="1" x14ac:dyDescent="0.3">
      <c r="A5" s="14">
        <f t="shared" ref="A5:A10" si="0">ROW()-3</f>
        <v>2</v>
      </c>
      <c r="B5" s="15" t="s">
        <v>172</v>
      </c>
      <c r="C5" s="15" t="s">
        <v>578</v>
      </c>
      <c r="D5" s="15" t="s">
        <v>579</v>
      </c>
      <c r="E5" s="19" t="s">
        <v>572</v>
      </c>
      <c r="F5" s="19" t="s">
        <v>573</v>
      </c>
      <c r="G5" s="15" t="s">
        <v>247</v>
      </c>
      <c r="H5" s="14" t="s">
        <v>171</v>
      </c>
      <c r="I5" s="14" t="s">
        <v>29</v>
      </c>
      <c r="J5" s="14" t="s">
        <v>31</v>
      </c>
      <c r="K5" s="23" t="s">
        <v>245</v>
      </c>
      <c r="L5" s="23" t="s">
        <v>245</v>
      </c>
      <c r="M5" s="14" t="s">
        <v>241</v>
      </c>
      <c r="N5" s="14"/>
      <c r="O5" s="14"/>
      <c r="P5" s="14"/>
      <c r="Q5" s="14"/>
      <c r="R5" s="14"/>
      <c r="S5" s="14"/>
      <c r="T5" s="14"/>
      <c r="U5" s="5"/>
      <c r="V5" s="5"/>
      <c r="W5" s="14"/>
      <c r="X5" s="5"/>
    </row>
    <row r="6" spans="1:26" s="3" customFormat="1" ht="30" customHeight="1" x14ac:dyDescent="0.3">
      <c r="A6" s="14">
        <f t="shared" si="0"/>
        <v>3</v>
      </c>
      <c r="B6" s="15" t="s">
        <v>172</v>
      </c>
      <c r="C6" s="15" t="s">
        <v>580</v>
      </c>
      <c r="D6" s="15" t="s">
        <v>581</v>
      </c>
      <c r="E6" s="19" t="s">
        <v>574</v>
      </c>
      <c r="F6" s="19" t="s">
        <v>573</v>
      </c>
      <c r="G6" s="15" t="s">
        <v>247</v>
      </c>
      <c r="H6" s="14" t="s">
        <v>171</v>
      </c>
      <c r="I6" s="14" t="s">
        <v>29</v>
      </c>
      <c r="J6" s="14" t="s">
        <v>31</v>
      </c>
      <c r="K6" s="23" t="s">
        <v>245</v>
      </c>
      <c r="L6" s="23" t="s">
        <v>245</v>
      </c>
      <c r="M6" s="14" t="s">
        <v>240</v>
      </c>
      <c r="N6" s="14"/>
      <c r="O6" s="14"/>
      <c r="P6" s="14"/>
      <c r="Q6" s="14"/>
      <c r="R6" s="14"/>
      <c r="S6" s="14"/>
      <c r="T6" s="14"/>
      <c r="U6" s="5"/>
      <c r="V6" s="5"/>
      <c r="W6" s="14"/>
      <c r="X6" s="5"/>
    </row>
    <row r="7" spans="1:26" s="3" customFormat="1" ht="30" customHeight="1" x14ac:dyDescent="0.3">
      <c r="A7" s="14">
        <f t="shared" si="0"/>
        <v>4</v>
      </c>
      <c r="B7" s="15" t="s">
        <v>172</v>
      </c>
      <c r="C7" s="15" t="s">
        <v>582</v>
      </c>
      <c r="D7" s="15" t="s">
        <v>583</v>
      </c>
      <c r="E7" s="19" t="s">
        <v>244</v>
      </c>
      <c r="F7" s="19" t="s">
        <v>573</v>
      </c>
      <c r="G7" s="15" t="s">
        <v>247</v>
      </c>
      <c r="H7" s="14" t="s">
        <v>171</v>
      </c>
      <c r="I7" s="14" t="s">
        <v>29</v>
      </c>
      <c r="J7" s="14" t="s">
        <v>31</v>
      </c>
      <c r="K7" s="23" t="s">
        <v>245</v>
      </c>
      <c r="L7" s="14" t="s">
        <v>242</v>
      </c>
      <c r="M7" s="14" t="s">
        <v>243</v>
      </c>
      <c r="N7" s="14"/>
      <c r="O7" s="14"/>
      <c r="P7" s="14"/>
      <c r="Q7" s="14"/>
      <c r="R7" s="14"/>
      <c r="S7" s="14"/>
      <c r="T7" s="14"/>
      <c r="U7" s="5"/>
      <c r="V7" s="5"/>
      <c r="W7" s="14"/>
      <c r="X7" s="5"/>
    </row>
    <row r="8" spans="1:26" s="73" customFormat="1" ht="30" customHeight="1" x14ac:dyDescent="0.3">
      <c r="A8" s="71">
        <f t="shared" si="0"/>
        <v>5</v>
      </c>
      <c r="B8" s="71">
        <v>0</v>
      </c>
      <c r="C8" s="71" t="s">
        <v>1319</v>
      </c>
      <c r="D8" s="71" t="s">
        <v>1320</v>
      </c>
      <c r="E8" s="72" t="s">
        <v>1050</v>
      </c>
      <c r="F8" s="71" t="s">
        <v>1321</v>
      </c>
      <c r="G8" s="71" t="s">
        <v>1285</v>
      </c>
      <c r="H8" s="71" t="s">
        <v>171</v>
      </c>
      <c r="I8" s="71" t="s">
        <v>29</v>
      </c>
      <c r="J8" s="71" t="s">
        <v>31</v>
      </c>
      <c r="K8" s="75" t="s">
        <v>245</v>
      </c>
      <c r="L8" s="71" t="s">
        <v>1247</v>
      </c>
      <c r="M8" s="71" t="s">
        <v>1248</v>
      </c>
      <c r="N8" s="71"/>
      <c r="O8" s="71"/>
      <c r="P8" s="71"/>
      <c r="Q8" s="71"/>
      <c r="R8" s="71"/>
      <c r="S8" s="71"/>
      <c r="T8" s="71"/>
      <c r="U8" s="72"/>
      <c r="V8" s="72"/>
      <c r="W8" s="71"/>
      <c r="X8" s="72"/>
    </row>
    <row r="9" spans="1:26" s="3" customFormat="1" ht="30" customHeight="1" x14ac:dyDescent="0.3">
      <c r="A9" s="14">
        <f t="shared" si="0"/>
        <v>6</v>
      </c>
      <c r="B9" s="15" t="s">
        <v>172</v>
      </c>
      <c r="C9" s="15" t="s">
        <v>584</v>
      </c>
      <c r="D9" s="15" t="s">
        <v>573</v>
      </c>
      <c r="E9" s="19" t="s">
        <v>741</v>
      </c>
      <c r="F9" s="19" t="s">
        <v>573</v>
      </c>
      <c r="G9" s="15" t="s">
        <v>247</v>
      </c>
      <c r="H9" s="14" t="s">
        <v>171</v>
      </c>
      <c r="I9" s="14" t="s">
        <v>239</v>
      </c>
      <c r="J9" s="14" t="s">
        <v>31</v>
      </c>
      <c r="K9" s="23" t="s">
        <v>245</v>
      </c>
      <c r="L9" s="23" t="s">
        <v>245</v>
      </c>
      <c r="M9" s="14" t="s">
        <v>240</v>
      </c>
      <c r="N9" s="14"/>
      <c r="O9" s="14"/>
      <c r="P9" s="14"/>
      <c r="Q9" s="14"/>
      <c r="R9" s="14"/>
      <c r="S9" s="14"/>
      <c r="T9" s="14"/>
      <c r="U9" s="5"/>
      <c r="V9" s="5"/>
      <c r="W9" s="14"/>
      <c r="X9" s="5"/>
    </row>
    <row r="10" spans="1:26" s="3" customFormat="1" ht="30" customHeight="1" x14ac:dyDescent="0.3">
      <c r="A10" s="14">
        <f t="shared" si="0"/>
        <v>7</v>
      </c>
      <c r="B10" s="15" t="s">
        <v>172</v>
      </c>
      <c r="C10" s="15" t="s">
        <v>585</v>
      </c>
      <c r="D10" s="15" t="s">
        <v>573</v>
      </c>
      <c r="E10" s="19" t="s">
        <v>740</v>
      </c>
      <c r="F10" s="19" t="s">
        <v>573</v>
      </c>
      <c r="G10" s="15" t="s">
        <v>247</v>
      </c>
      <c r="H10" s="14" t="s">
        <v>171</v>
      </c>
      <c r="I10" s="14" t="s">
        <v>239</v>
      </c>
      <c r="J10" s="14" t="s">
        <v>31</v>
      </c>
      <c r="K10" s="23" t="s">
        <v>245</v>
      </c>
      <c r="L10" s="23" t="s">
        <v>245</v>
      </c>
      <c r="M10" s="14" t="s">
        <v>246</v>
      </c>
      <c r="N10" s="14"/>
      <c r="O10" s="14"/>
      <c r="P10" s="14"/>
      <c r="Q10" s="14"/>
      <c r="R10" s="14"/>
      <c r="S10" s="14"/>
      <c r="T10" s="14"/>
      <c r="U10" s="5"/>
      <c r="V10" s="5"/>
      <c r="W10" s="14"/>
      <c r="X10" s="5"/>
    </row>
    <row r="11" spans="1:26" s="3" customFormat="1" ht="30" customHeight="1" x14ac:dyDescent="0.3">
      <c r="A11" s="14"/>
      <c r="B11" s="15"/>
      <c r="C11" s="15"/>
      <c r="D11" s="15"/>
      <c r="E11" s="19"/>
      <c r="F11" s="19"/>
      <c r="G11" s="19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5"/>
      <c r="V11" s="5"/>
      <c r="W11" s="14"/>
      <c r="X11" s="5"/>
    </row>
    <row r="12" spans="1:26" s="3" customFormat="1" ht="30" customHeight="1" x14ac:dyDescent="0.3">
      <c r="B12" s="2"/>
      <c r="C12" s="2"/>
      <c r="E12" s="4"/>
      <c r="F12" s="4"/>
      <c r="G12" s="2"/>
      <c r="H12" s="4"/>
      <c r="U12" s="4"/>
      <c r="V12" s="4"/>
      <c r="X12" s="4"/>
    </row>
    <row r="13" spans="1:26" s="3" customFormat="1" ht="30" customHeight="1" x14ac:dyDescent="0.3">
      <c r="B13" s="2"/>
      <c r="C13" s="2"/>
      <c r="E13" s="4"/>
      <c r="F13" s="4"/>
      <c r="G13" s="2"/>
      <c r="H13" s="4"/>
      <c r="U13" s="4"/>
      <c r="V13" s="4"/>
      <c r="X13" s="4"/>
    </row>
    <row r="14" spans="1:26" s="3" customFormat="1" ht="30" customHeight="1" x14ac:dyDescent="0.3">
      <c r="B14" s="2"/>
      <c r="C14" s="2"/>
      <c r="E14" s="4"/>
      <c r="F14" s="4"/>
      <c r="G14" s="2"/>
      <c r="H14" s="4"/>
      <c r="U14" s="4"/>
      <c r="V14" s="4"/>
      <c r="X14" s="4"/>
    </row>
    <row r="15" spans="1:26" s="3" customFormat="1" ht="30" customHeight="1" x14ac:dyDescent="0.3">
      <c r="B15" s="2"/>
      <c r="C15" s="2"/>
      <c r="E15" s="4"/>
      <c r="F15" s="4"/>
      <c r="G15" s="2"/>
      <c r="H15" s="4"/>
      <c r="U15" s="4"/>
      <c r="V15" s="4"/>
      <c r="X15" s="4"/>
    </row>
    <row r="16" spans="1:26" s="3" customFormat="1" ht="30" customHeight="1" x14ac:dyDescent="0.3">
      <c r="B16" s="2"/>
      <c r="C16" s="2"/>
      <c r="E16" s="4"/>
      <c r="F16" s="4"/>
      <c r="G16" s="2"/>
      <c r="H16" s="4"/>
      <c r="U16" s="4"/>
      <c r="V16" s="4"/>
      <c r="X16" s="4"/>
    </row>
    <row r="17" spans="2:24" s="3" customFormat="1" ht="30" customHeight="1" x14ac:dyDescent="0.3">
      <c r="B17" s="2"/>
      <c r="C17" s="2"/>
      <c r="E17" s="4"/>
      <c r="F17" s="4"/>
      <c r="G17" s="2"/>
      <c r="H17" s="4"/>
      <c r="U17" s="4"/>
      <c r="V17" s="4"/>
      <c r="X17" s="4"/>
    </row>
    <row r="18" spans="2:24" s="3" customFormat="1" ht="30" customHeight="1" x14ac:dyDescent="0.3">
      <c r="B18" s="2"/>
      <c r="C18" s="2"/>
      <c r="E18" s="4"/>
      <c r="F18" s="4"/>
      <c r="G18" s="2"/>
      <c r="H18" s="4"/>
      <c r="U18" s="4"/>
      <c r="V18" s="4"/>
      <c r="X18" s="4"/>
    </row>
    <row r="19" spans="2:24" s="3" customFormat="1" ht="30" customHeight="1" x14ac:dyDescent="0.3">
      <c r="B19" s="2"/>
      <c r="C19" s="2"/>
      <c r="E19" s="4"/>
      <c r="F19" s="4"/>
      <c r="G19" s="2"/>
      <c r="H19" s="4"/>
      <c r="U19" s="4"/>
      <c r="V19" s="4"/>
      <c r="X19" s="4"/>
    </row>
    <row r="20" spans="2:24" s="3" customFormat="1" ht="30" customHeight="1" x14ac:dyDescent="0.3">
      <c r="B20" s="2"/>
      <c r="C20" s="2"/>
      <c r="E20" s="4"/>
      <c r="F20" s="4"/>
      <c r="G20" s="2"/>
      <c r="H20" s="4"/>
      <c r="U20" s="4"/>
      <c r="V20" s="4"/>
      <c r="X20" s="4"/>
    </row>
    <row r="21" spans="2:24" s="3" customFormat="1" ht="30" customHeight="1" x14ac:dyDescent="0.3">
      <c r="B21" s="2"/>
      <c r="C21" s="2"/>
      <c r="E21" s="4"/>
      <c r="F21" s="4"/>
      <c r="G21" s="2"/>
      <c r="H21" s="4"/>
      <c r="U21" s="4"/>
      <c r="V21" s="4"/>
      <c r="X21" s="4"/>
    </row>
    <row r="22" spans="2:24" s="3" customFormat="1" ht="30" customHeight="1" x14ac:dyDescent="0.3">
      <c r="B22" s="2"/>
      <c r="C22" s="2"/>
      <c r="E22" s="4"/>
      <c r="F22" s="4"/>
      <c r="G22" s="2"/>
      <c r="H22" s="4"/>
      <c r="U22" s="4"/>
      <c r="V22" s="4"/>
      <c r="X22" s="4"/>
    </row>
    <row r="23" spans="2:24" s="3" customFormat="1" ht="30" customHeight="1" x14ac:dyDescent="0.3">
      <c r="B23" s="2"/>
      <c r="C23" s="2"/>
      <c r="E23" s="4"/>
      <c r="F23" s="4"/>
      <c r="G23" s="2"/>
      <c r="H23" s="4"/>
      <c r="U23" s="4"/>
      <c r="V23" s="4"/>
      <c r="X23" s="4"/>
    </row>
    <row r="24" spans="2:24" s="3" customFormat="1" ht="30" customHeight="1" x14ac:dyDescent="0.3">
      <c r="B24" s="2"/>
      <c r="C24" s="2"/>
      <c r="E24" s="4"/>
      <c r="F24" s="4"/>
      <c r="G24" s="2"/>
      <c r="H24" s="4"/>
      <c r="U24" s="4"/>
      <c r="V24" s="4"/>
      <c r="X24" s="4"/>
    </row>
    <row r="25" spans="2:24" s="3" customFormat="1" ht="30" customHeight="1" x14ac:dyDescent="0.3">
      <c r="B25" s="2"/>
      <c r="C25" s="2"/>
      <c r="E25" s="4"/>
      <c r="F25" s="4"/>
      <c r="G25" s="2"/>
      <c r="H25" s="4"/>
      <c r="U25" s="4"/>
      <c r="V25" s="4"/>
      <c r="X25" s="4"/>
    </row>
    <row r="26" spans="2:24" s="3" customFormat="1" ht="30" customHeight="1" x14ac:dyDescent="0.3">
      <c r="B26" s="2"/>
      <c r="C26" s="2"/>
      <c r="E26" s="4"/>
      <c r="F26" s="4"/>
      <c r="G26" s="2"/>
      <c r="H26" s="4"/>
      <c r="U26" s="4"/>
      <c r="V26" s="4"/>
      <c r="X26" s="4"/>
    </row>
    <row r="27" spans="2:24" s="3" customFormat="1" ht="30" customHeight="1" x14ac:dyDescent="0.3">
      <c r="B27" s="2"/>
      <c r="C27" s="2"/>
      <c r="E27" s="4"/>
      <c r="F27" s="4"/>
      <c r="G27" s="2"/>
      <c r="H27" s="4"/>
      <c r="U27" s="4"/>
      <c r="V27" s="4"/>
      <c r="X27" s="4"/>
    </row>
    <row r="28" spans="2:24" s="3" customFormat="1" ht="30" customHeight="1" x14ac:dyDescent="0.3">
      <c r="B28" s="2"/>
      <c r="C28" s="2"/>
      <c r="E28" s="4"/>
      <c r="F28" s="4"/>
      <c r="G28" s="2"/>
      <c r="H28" s="4"/>
      <c r="U28" s="4"/>
      <c r="V28" s="4"/>
      <c r="X28" s="4"/>
    </row>
    <row r="29" spans="2:24" s="3" customFormat="1" ht="30" customHeight="1" x14ac:dyDescent="0.3">
      <c r="B29" s="2"/>
      <c r="C29" s="2"/>
      <c r="E29" s="4"/>
      <c r="F29" s="4"/>
      <c r="G29" s="2"/>
      <c r="H29" s="4"/>
      <c r="U29" s="4"/>
      <c r="V29" s="4"/>
      <c r="X29" s="4"/>
    </row>
    <row r="30" spans="2:24" s="3" customFormat="1" ht="30" customHeight="1" x14ac:dyDescent="0.3">
      <c r="B30" s="2"/>
      <c r="C30" s="2"/>
      <c r="E30" s="4"/>
      <c r="F30" s="4"/>
      <c r="G30" s="2"/>
      <c r="H30" s="4"/>
      <c r="U30" s="4"/>
      <c r="V30" s="4"/>
      <c r="X30" s="4"/>
    </row>
    <row r="31" spans="2:24" s="3" customFormat="1" ht="30" customHeight="1" x14ac:dyDescent="0.3">
      <c r="B31" s="2"/>
      <c r="C31" s="2"/>
      <c r="E31" s="4"/>
      <c r="F31" s="4"/>
      <c r="G31" s="2"/>
      <c r="H31" s="4"/>
      <c r="U31" s="4"/>
      <c r="V31" s="4"/>
      <c r="X31" s="4"/>
    </row>
    <row r="32" spans="2:24" s="3" customFormat="1" ht="30" customHeight="1" x14ac:dyDescent="0.3">
      <c r="B32" s="2"/>
      <c r="C32" s="2"/>
      <c r="E32" s="4"/>
      <c r="F32" s="4"/>
      <c r="G32" s="2"/>
      <c r="H32" s="4"/>
      <c r="U32" s="4"/>
      <c r="V32" s="4"/>
      <c r="X32" s="4"/>
    </row>
    <row r="33" spans="2:24" s="3" customFormat="1" ht="30" customHeight="1" x14ac:dyDescent="0.3">
      <c r="B33" s="2"/>
      <c r="C33" s="2"/>
      <c r="E33" s="4"/>
      <c r="F33" s="4"/>
      <c r="G33" s="2"/>
      <c r="H33" s="4"/>
      <c r="U33" s="4"/>
      <c r="V33" s="4"/>
      <c r="X33" s="4"/>
    </row>
    <row r="34" spans="2:24" s="3" customFormat="1" ht="30" customHeight="1" x14ac:dyDescent="0.3">
      <c r="B34" s="2"/>
      <c r="C34" s="2"/>
      <c r="E34" s="4"/>
      <c r="F34" s="4"/>
      <c r="G34" s="4"/>
      <c r="H34" s="2"/>
      <c r="U34" s="4"/>
      <c r="V34" s="4"/>
      <c r="X34" s="4"/>
    </row>
    <row r="35" spans="2:24" s="3" customFormat="1" ht="30" customHeight="1" x14ac:dyDescent="0.3">
      <c r="B35" s="2"/>
      <c r="C35" s="2"/>
      <c r="E35" s="4"/>
      <c r="F35" s="4"/>
      <c r="G35" s="4"/>
      <c r="H35" s="2"/>
      <c r="U35" s="4"/>
      <c r="V35" s="4"/>
      <c r="X35" s="4"/>
    </row>
    <row r="36" spans="2:24" s="3" customFormat="1" ht="30" customHeight="1" x14ac:dyDescent="0.3">
      <c r="B36" s="2"/>
      <c r="C36" s="2"/>
      <c r="E36" s="4"/>
      <c r="F36" s="4"/>
      <c r="G36" s="4"/>
      <c r="H36" s="2"/>
      <c r="U36" s="4"/>
      <c r="V36" s="4"/>
      <c r="X36" s="4"/>
    </row>
    <row r="37" spans="2:24" s="3" customFormat="1" ht="30" customHeight="1" x14ac:dyDescent="0.3">
      <c r="B37" s="2"/>
      <c r="C37" s="2"/>
      <c r="E37" s="4"/>
      <c r="F37" s="4"/>
      <c r="G37" s="4"/>
      <c r="H37" s="2"/>
      <c r="U37" s="4"/>
      <c r="V37" s="4"/>
      <c r="X37" s="4"/>
    </row>
    <row r="38" spans="2:24" s="3" customFormat="1" ht="30" customHeight="1" x14ac:dyDescent="0.3">
      <c r="B38" s="2"/>
      <c r="C38" s="2"/>
      <c r="E38" s="4"/>
      <c r="F38" s="4"/>
      <c r="G38" s="4"/>
      <c r="H38" s="2"/>
      <c r="U38" s="4"/>
      <c r="V38" s="4"/>
      <c r="X38" s="4"/>
    </row>
    <row r="39" spans="2:24" s="3" customFormat="1" ht="30" customHeight="1" x14ac:dyDescent="0.3">
      <c r="B39" s="2"/>
      <c r="C39" s="2"/>
      <c r="E39" s="4"/>
      <c r="F39" s="4"/>
      <c r="G39" s="4"/>
      <c r="H39" s="2"/>
      <c r="U39" s="4"/>
      <c r="V39" s="4"/>
      <c r="X39" s="4"/>
    </row>
  </sheetData>
  <autoFilter ref="A3:Z39" xr:uid="{F56D1C5C-316D-4C1E-ACF4-D54CD57FC5B6}"/>
  <mergeCells count="20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W1:W2"/>
    <mergeCell ref="X1:X2"/>
    <mergeCell ref="M1:M2"/>
    <mergeCell ref="N1:Q1"/>
    <mergeCell ref="R1:S1"/>
    <mergeCell ref="T1:T2"/>
    <mergeCell ref="U1:U2"/>
    <mergeCell ref="V1:V2"/>
  </mergeCells>
  <phoneticPr fontId="8" type="noConversion"/>
  <pageMargins left="0.70866141732283472" right="0.51181102362204722" top="0.55118110236220474" bottom="0.55118110236220474" header="0.31496062992125984" footer="0.31496062992125984"/>
  <pageSetup paperSize="8" scale="80" fitToHeight="0" orientation="landscape" r:id="rId1"/>
  <headerFooter>
    <oddFooter>&amp;R&amp;10PAGE &amp;P OF &amp;N</oddFooter>
  </headerFooter>
  <colBreaks count="1" manualBreakCount="1">
    <brk id="2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AB4C-2964-489D-A4EA-0CA731C733CA}">
  <sheetPr>
    <pageSetUpPr fitToPage="1"/>
  </sheetPr>
  <dimension ref="A1:Z139"/>
  <sheetViews>
    <sheetView view="pageBreakPreview" zoomScale="85" zoomScaleNormal="115" zoomScaleSheetLayoutView="85" workbookViewId="0">
      <pane xSplit="3" ySplit="3" topLeftCell="D22" activePane="bottomRight" state="frozen"/>
      <selection activeCell="O38" sqref="O38"/>
      <selection pane="topRight" activeCell="O38" sqref="O38"/>
      <selection pane="bottomLeft" activeCell="O38" sqref="O38"/>
      <selection pane="bottomRight" activeCell="G14" sqref="G14"/>
    </sheetView>
  </sheetViews>
  <sheetFormatPr defaultColWidth="9.08203125" defaultRowHeight="30" customHeight="1" x14ac:dyDescent="0.3"/>
  <cols>
    <col min="1" max="1" width="5.75" style="3" customWidth="1"/>
    <col min="2" max="2" width="8.33203125" style="2" customWidth="1"/>
    <col min="3" max="3" width="13" style="2" customWidth="1"/>
    <col min="4" max="4" width="12.08203125" style="3" customWidth="1"/>
    <col min="5" max="5" width="22.75" style="24" customWidth="1"/>
    <col min="6" max="6" width="15.75" style="4" customWidth="1"/>
    <col min="7" max="7" width="15.58203125" style="4" customWidth="1"/>
    <col min="8" max="8" width="9.25" style="2" customWidth="1"/>
    <col min="9" max="9" width="9.08203125" style="3"/>
    <col min="10" max="10" width="10.83203125" style="3" customWidth="1"/>
    <col min="11" max="11" width="12.33203125" style="3" customWidth="1"/>
    <col min="12" max="13" width="9.08203125" style="3"/>
    <col min="14" max="20" width="7.58203125" style="3" customWidth="1"/>
    <col min="21" max="21" width="8.58203125" style="4" customWidth="1"/>
    <col min="22" max="22" width="9.08203125" style="4"/>
    <col min="23" max="23" width="9.08203125" style="3"/>
    <col min="24" max="24" width="9.08203125" style="4"/>
    <col min="25" max="26" width="9.08203125" style="3"/>
    <col min="27" max="16384" width="9.08203125" style="4"/>
  </cols>
  <sheetData>
    <row r="1" spans="1:26" ht="20.149999999999999" customHeight="1" x14ac:dyDescent="0.3">
      <c r="A1" s="134" t="s">
        <v>0</v>
      </c>
      <c r="B1" s="134" t="s">
        <v>1</v>
      </c>
      <c r="C1" s="134" t="s">
        <v>27</v>
      </c>
      <c r="D1" s="134" t="s">
        <v>2</v>
      </c>
      <c r="E1" s="134" t="s">
        <v>3</v>
      </c>
      <c r="F1" s="134" t="s">
        <v>4</v>
      </c>
      <c r="G1" s="134" t="s">
        <v>5</v>
      </c>
      <c r="H1" s="134" t="s">
        <v>6</v>
      </c>
      <c r="I1" s="134" t="s">
        <v>7</v>
      </c>
      <c r="J1" s="134" t="s">
        <v>8</v>
      </c>
      <c r="K1" s="135" t="s">
        <v>249</v>
      </c>
      <c r="L1" s="134" t="s">
        <v>9</v>
      </c>
      <c r="M1" s="134" t="s">
        <v>10</v>
      </c>
      <c r="N1" s="137" t="s">
        <v>11</v>
      </c>
      <c r="O1" s="137"/>
      <c r="P1" s="137"/>
      <c r="Q1" s="137"/>
      <c r="R1" s="137" t="s">
        <v>12</v>
      </c>
      <c r="S1" s="137"/>
      <c r="T1" s="134" t="s">
        <v>13</v>
      </c>
      <c r="U1" s="134" t="s">
        <v>14</v>
      </c>
      <c r="V1" s="134" t="s">
        <v>15</v>
      </c>
      <c r="W1" s="134" t="s">
        <v>16</v>
      </c>
      <c r="X1" s="134" t="s">
        <v>17</v>
      </c>
    </row>
    <row r="2" spans="1:26" ht="20.149999999999999" customHeight="1" x14ac:dyDescent="0.3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6"/>
      <c r="L2" s="134"/>
      <c r="M2" s="134"/>
      <c r="N2" s="18" t="s">
        <v>18</v>
      </c>
      <c r="O2" s="18" t="s">
        <v>19</v>
      </c>
      <c r="P2" s="18" t="s">
        <v>20</v>
      </c>
      <c r="Q2" s="18" t="s">
        <v>21</v>
      </c>
      <c r="R2" s="7">
        <v>0</v>
      </c>
      <c r="S2" s="7">
        <v>1</v>
      </c>
      <c r="T2" s="134"/>
      <c r="U2" s="134"/>
      <c r="V2" s="134"/>
      <c r="W2" s="134"/>
      <c r="X2" s="134"/>
      <c r="Y2" s="3" t="s">
        <v>22</v>
      </c>
      <c r="Z2" s="3" t="s">
        <v>23</v>
      </c>
    </row>
    <row r="3" spans="1:26" ht="30" customHeight="1" x14ac:dyDescent="0.3">
      <c r="A3" s="20" t="s">
        <v>1200</v>
      </c>
      <c r="B3" s="21"/>
      <c r="C3" s="21"/>
      <c r="D3" s="22"/>
      <c r="E3" s="17"/>
      <c r="F3" s="17"/>
      <c r="G3" s="17"/>
      <c r="H3" s="17"/>
      <c r="I3" s="17"/>
      <c r="J3" s="17"/>
      <c r="K3" s="17"/>
      <c r="L3" s="17"/>
      <c r="M3" s="17"/>
      <c r="N3" s="18"/>
      <c r="O3" s="18"/>
      <c r="P3" s="18"/>
      <c r="Q3" s="18"/>
      <c r="R3" s="7"/>
      <c r="S3" s="7"/>
      <c r="T3" s="17"/>
      <c r="U3" s="17"/>
      <c r="V3" s="17"/>
      <c r="W3" s="17"/>
      <c r="X3" s="17"/>
    </row>
    <row r="4" spans="1:26" ht="30" customHeight="1" x14ac:dyDescent="0.3">
      <c r="A4" s="14">
        <f>ROW()-3</f>
        <v>1</v>
      </c>
      <c r="B4" s="15" t="s">
        <v>172</v>
      </c>
      <c r="C4" s="15" t="s">
        <v>665</v>
      </c>
      <c r="D4" s="15" t="s">
        <v>588</v>
      </c>
      <c r="E4" s="19" t="s">
        <v>669</v>
      </c>
      <c r="F4" s="15" t="s">
        <v>639</v>
      </c>
      <c r="G4" s="15" t="s">
        <v>640</v>
      </c>
      <c r="H4" s="14" t="s">
        <v>172</v>
      </c>
      <c r="I4" s="14" t="s">
        <v>25</v>
      </c>
      <c r="J4" s="14" t="s">
        <v>30</v>
      </c>
      <c r="K4" s="14" t="s">
        <v>713</v>
      </c>
      <c r="L4" s="14" t="s">
        <v>163</v>
      </c>
      <c r="M4" s="14" t="s">
        <v>163</v>
      </c>
      <c r="N4" s="14"/>
      <c r="O4" s="14"/>
      <c r="P4" s="14"/>
      <c r="Q4" s="14"/>
      <c r="R4" s="14"/>
      <c r="S4" s="14"/>
      <c r="T4" s="14"/>
      <c r="U4" s="5"/>
      <c r="V4" s="5"/>
      <c r="W4" s="14"/>
      <c r="X4" s="5" t="s">
        <v>1170</v>
      </c>
    </row>
    <row r="5" spans="1:26" ht="30" customHeight="1" x14ac:dyDescent="0.3">
      <c r="A5" s="14">
        <f t="shared" ref="A5:A104" si="0">ROW()-3</f>
        <v>2</v>
      </c>
      <c r="B5" s="15" t="s">
        <v>172</v>
      </c>
      <c r="C5" s="15" t="s">
        <v>666</v>
      </c>
      <c r="D5" s="15" t="s">
        <v>635</v>
      </c>
      <c r="E5" s="19" t="s">
        <v>670</v>
      </c>
      <c r="F5" s="15" t="s">
        <v>641</v>
      </c>
      <c r="G5" s="15" t="s">
        <v>640</v>
      </c>
      <c r="H5" s="14" t="s">
        <v>171</v>
      </c>
      <c r="I5" s="14" t="s">
        <v>25</v>
      </c>
      <c r="J5" s="14" t="s">
        <v>30</v>
      </c>
      <c r="K5" s="14" t="s">
        <v>713</v>
      </c>
      <c r="L5" s="14" t="s">
        <v>163</v>
      </c>
      <c r="M5" s="14" t="s">
        <v>163</v>
      </c>
      <c r="N5" s="14"/>
      <c r="O5" s="14"/>
      <c r="P5" s="14"/>
      <c r="Q5" s="14"/>
      <c r="R5" s="14"/>
      <c r="S5" s="14"/>
      <c r="T5" s="14"/>
      <c r="U5" s="5"/>
      <c r="V5" s="5"/>
      <c r="W5" s="14"/>
      <c r="X5" s="5" t="s">
        <v>1170</v>
      </c>
    </row>
    <row r="6" spans="1:26" ht="30" customHeight="1" x14ac:dyDescent="0.3">
      <c r="A6" s="14">
        <f t="shared" si="0"/>
        <v>3</v>
      </c>
      <c r="B6" s="15" t="s">
        <v>172</v>
      </c>
      <c r="C6" s="15" t="s">
        <v>667</v>
      </c>
      <c r="D6" s="15" t="s">
        <v>636</v>
      </c>
      <c r="E6" s="19" t="s">
        <v>909</v>
      </c>
      <c r="F6" s="15" t="s">
        <v>642</v>
      </c>
      <c r="G6" s="15" t="s">
        <v>640</v>
      </c>
      <c r="H6" s="14" t="s">
        <v>171</v>
      </c>
      <c r="I6" s="14" t="s">
        <v>25</v>
      </c>
      <c r="J6" s="14" t="s">
        <v>30</v>
      </c>
      <c r="K6" s="14" t="s">
        <v>713</v>
      </c>
      <c r="L6" s="14" t="s">
        <v>163</v>
      </c>
      <c r="M6" s="14" t="s">
        <v>163</v>
      </c>
      <c r="N6" s="14"/>
      <c r="O6" s="14"/>
      <c r="P6" s="14"/>
      <c r="Q6" s="14"/>
      <c r="R6" s="14"/>
      <c r="S6" s="14"/>
      <c r="T6" s="14"/>
      <c r="U6" s="5"/>
      <c r="V6" s="5"/>
      <c r="W6" s="14"/>
      <c r="X6" s="5" t="s">
        <v>1170</v>
      </c>
    </row>
    <row r="7" spans="1:26" ht="30" customHeight="1" x14ac:dyDescent="0.3">
      <c r="A7" s="14">
        <f t="shared" si="0"/>
        <v>4</v>
      </c>
      <c r="B7" s="15" t="s">
        <v>172</v>
      </c>
      <c r="C7" s="15" t="s">
        <v>668</v>
      </c>
      <c r="D7" s="15" t="s">
        <v>637</v>
      </c>
      <c r="E7" s="19" t="s">
        <v>910</v>
      </c>
      <c r="F7" s="15" t="s">
        <v>643</v>
      </c>
      <c r="G7" s="15" t="s">
        <v>640</v>
      </c>
      <c r="H7" s="14" t="s">
        <v>171</v>
      </c>
      <c r="I7" s="14" t="s">
        <v>25</v>
      </c>
      <c r="J7" s="14" t="s">
        <v>30</v>
      </c>
      <c r="K7" s="14" t="s">
        <v>713</v>
      </c>
      <c r="L7" s="14" t="s">
        <v>163</v>
      </c>
      <c r="M7" s="14" t="s">
        <v>163</v>
      </c>
      <c r="N7" s="14"/>
      <c r="O7" s="14"/>
      <c r="P7" s="14"/>
      <c r="Q7" s="14"/>
      <c r="R7" s="14"/>
      <c r="S7" s="14"/>
      <c r="T7" s="14"/>
      <c r="U7" s="5"/>
      <c r="V7" s="5"/>
      <c r="W7" s="14"/>
      <c r="X7" s="5" t="s">
        <v>1170</v>
      </c>
    </row>
    <row r="8" spans="1:26" ht="30" customHeight="1" x14ac:dyDescent="0.3">
      <c r="A8" s="14">
        <f t="shared" si="0"/>
        <v>5</v>
      </c>
      <c r="B8" s="15" t="s">
        <v>172</v>
      </c>
      <c r="C8" s="15" t="s">
        <v>699</v>
      </c>
      <c r="D8" s="15" t="s">
        <v>638</v>
      </c>
      <c r="E8" s="19" t="s">
        <v>905</v>
      </c>
      <c r="F8" s="15" t="s">
        <v>644</v>
      </c>
      <c r="G8" s="15" t="s">
        <v>645</v>
      </c>
      <c r="H8" s="14" t="s">
        <v>171</v>
      </c>
      <c r="I8" s="14" t="s">
        <v>25</v>
      </c>
      <c r="J8" s="14" t="s">
        <v>30</v>
      </c>
      <c r="K8" s="14" t="s">
        <v>713</v>
      </c>
      <c r="L8" s="14" t="s">
        <v>163</v>
      </c>
      <c r="M8" s="14" t="s">
        <v>163</v>
      </c>
      <c r="N8" s="14"/>
      <c r="O8" s="14"/>
      <c r="P8" s="14"/>
      <c r="Q8" s="14"/>
      <c r="R8" s="14"/>
      <c r="S8" s="14"/>
      <c r="T8" s="14"/>
      <c r="U8" s="5"/>
      <c r="V8" s="5"/>
      <c r="W8" s="14"/>
      <c r="X8" s="5" t="s">
        <v>1170</v>
      </c>
    </row>
    <row r="9" spans="1:26" ht="30" customHeight="1" x14ac:dyDescent="0.3">
      <c r="A9" s="14">
        <f t="shared" si="0"/>
        <v>6</v>
      </c>
      <c r="B9" s="15" t="s">
        <v>172</v>
      </c>
      <c r="C9" s="15" t="s">
        <v>700</v>
      </c>
      <c r="D9" s="15" t="s">
        <v>589</v>
      </c>
      <c r="E9" s="19" t="s">
        <v>906</v>
      </c>
      <c r="F9" s="15" t="s">
        <v>646</v>
      </c>
      <c r="G9" s="15" t="s">
        <v>645</v>
      </c>
      <c r="H9" s="14" t="s">
        <v>171</v>
      </c>
      <c r="I9" s="14" t="s">
        <v>25</v>
      </c>
      <c r="J9" s="14" t="s">
        <v>30</v>
      </c>
      <c r="K9" s="14" t="s">
        <v>713</v>
      </c>
      <c r="L9" s="14" t="s">
        <v>163</v>
      </c>
      <c r="M9" s="14" t="s">
        <v>163</v>
      </c>
      <c r="N9" s="14"/>
      <c r="O9" s="14"/>
      <c r="P9" s="14"/>
      <c r="Q9" s="14"/>
      <c r="R9" s="14"/>
      <c r="S9" s="14"/>
      <c r="T9" s="14"/>
      <c r="U9" s="5"/>
      <c r="V9" s="5"/>
      <c r="W9" s="14"/>
      <c r="X9" s="5" t="s">
        <v>1170</v>
      </c>
    </row>
    <row r="10" spans="1:26" ht="30" customHeight="1" x14ac:dyDescent="0.3">
      <c r="A10" s="14">
        <f t="shared" si="0"/>
        <v>7</v>
      </c>
      <c r="B10" s="15" t="s">
        <v>172</v>
      </c>
      <c r="C10" s="15" t="s">
        <v>701</v>
      </c>
      <c r="D10" s="15" t="s">
        <v>590</v>
      </c>
      <c r="E10" s="19" t="s">
        <v>907</v>
      </c>
      <c r="F10" s="15" t="s">
        <v>647</v>
      </c>
      <c r="G10" s="15" t="s">
        <v>645</v>
      </c>
      <c r="H10" s="14" t="s">
        <v>171</v>
      </c>
      <c r="I10" s="14" t="s">
        <v>25</v>
      </c>
      <c r="J10" s="14" t="s">
        <v>30</v>
      </c>
      <c r="K10" s="14" t="s">
        <v>713</v>
      </c>
      <c r="L10" s="14" t="s">
        <v>163</v>
      </c>
      <c r="M10" s="14" t="s">
        <v>163</v>
      </c>
      <c r="N10" s="14"/>
      <c r="O10" s="14"/>
      <c r="P10" s="14"/>
      <c r="Q10" s="14"/>
      <c r="R10" s="14"/>
      <c r="S10" s="14"/>
      <c r="T10" s="14"/>
      <c r="U10" s="5"/>
      <c r="V10" s="5"/>
      <c r="W10" s="14"/>
      <c r="X10" s="5" t="s">
        <v>1170</v>
      </c>
    </row>
    <row r="11" spans="1:26" ht="30" customHeight="1" x14ac:dyDescent="0.3">
      <c r="A11" s="14">
        <f t="shared" si="0"/>
        <v>8</v>
      </c>
      <c r="B11" s="15" t="s">
        <v>172</v>
      </c>
      <c r="C11" s="15" t="s">
        <v>702</v>
      </c>
      <c r="D11" s="15" t="s">
        <v>591</v>
      </c>
      <c r="E11" s="19" t="s">
        <v>908</v>
      </c>
      <c r="F11" s="15" t="s">
        <v>648</v>
      </c>
      <c r="G11" s="15" t="s">
        <v>645</v>
      </c>
      <c r="H11" s="14" t="s">
        <v>171</v>
      </c>
      <c r="I11" s="14" t="s">
        <v>25</v>
      </c>
      <c r="J11" s="14" t="s">
        <v>30</v>
      </c>
      <c r="K11" s="14" t="s">
        <v>713</v>
      </c>
      <c r="L11" s="14" t="s">
        <v>163</v>
      </c>
      <c r="M11" s="14" t="s">
        <v>163</v>
      </c>
      <c r="N11" s="14"/>
      <c r="O11" s="14"/>
      <c r="P11" s="14"/>
      <c r="Q11" s="14"/>
      <c r="R11" s="14"/>
      <c r="S11" s="14"/>
      <c r="T11" s="14"/>
      <c r="U11" s="5"/>
      <c r="V11" s="5"/>
      <c r="W11" s="14"/>
      <c r="X11" s="5" t="s">
        <v>1170</v>
      </c>
    </row>
    <row r="12" spans="1:26" ht="30" customHeight="1" x14ac:dyDescent="0.3">
      <c r="A12" s="14">
        <f t="shared" si="0"/>
        <v>9</v>
      </c>
      <c r="B12" s="15" t="s">
        <v>172</v>
      </c>
      <c r="C12" s="15" t="s">
        <v>761</v>
      </c>
      <c r="D12" s="15" t="s">
        <v>762</v>
      </c>
      <c r="E12" s="19" t="s">
        <v>763</v>
      </c>
      <c r="F12" s="15" t="s">
        <v>639</v>
      </c>
      <c r="G12" s="15" t="s">
        <v>640</v>
      </c>
      <c r="H12" s="14" t="s">
        <v>171</v>
      </c>
      <c r="I12" s="14" t="s">
        <v>711</v>
      </c>
      <c r="J12" s="14" t="s">
        <v>30</v>
      </c>
      <c r="K12" s="14" t="s">
        <v>713</v>
      </c>
      <c r="L12" s="14" t="s">
        <v>163</v>
      </c>
      <c r="M12" s="14" t="s">
        <v>163</v>
      </c>
      <c r="N12" s="14"/>
      <c r="O12" s="14"/>
      <c r="P12" s="14"/>
      <c r="Q12" s="14"/>
      <c r="R12" s="14">
        <v>0</v>
      </c>
      <c r="S12" s="14">
        <v>100</v>
      </c>
      <c r="T12" s="14" t="s">
        <v>252</v>
      </c>
      <c r="U12" s="5"/>
      <c r="V12" s="5"/>
      <c r="W12" s="14"/>
      <c r="X12" s="5" t="s">
        <v>1170</v>
      </c>
    </row>
    <row r="13" spans="1:26" ht="30" customHeight="1" x14ac:dyDescent="0.3">
      <c r="A13" s="14">
        <f t="shared" si="0"/>
        <v>10</v>
      </c>
      <c r="B13" s="15" t="s">
        <v>172</v>
      </c>
      <c r="C13" s="15" t="s">
        <v>764</v>
      </c>
      <c r="D13" s="15" t="s">
        <v>765</v>
      </c>
      <c r="E13" s="19" t="s">
        <v>766</v>
      </c>
      <c r="F13" s="15" t="s">
        <v>639</v>
      </c>
      <c r="G13" s="15" t="s">
        <v>640</v>
      </c>
      <c r="H13" s="14" t="s">
        <v>171</v>
      </c>
      <c r="I13" s="14" t="s">
        <v>712</v>
      </c>
      <c r="J13" s="14" t="s">
        <v>30</v>
      </c>
      <c r="K13" s="14" t="s">
        <v>713</v>
      </c>
      <c r="L13" s="14" t="s">
        <v>163</v>
      </c>
      <c r="M13" s="14" t="s">
        <v>163</v>
      </c>
      <c r="N13" s="14"/>
      <c r="O13" s="14"/>
      <c r="P13" s="14"/>
      <c r="Q13" s="14"/>
      <c r="R13" s="14">
        <v>0</v>
      </c>
      <c r="S13" s="14">
        <v>100</v>
      </c>
      <c r="T13" s="14" t="s">
        <v>252</v>
      </c>
      <c r="U13" s="5"/>
      <c r="V13" s="5"/>
      <c r="W13" s="14"/>
      <c r="X13" s="5" t="s">
        <v>1170</v>
      </c>
    </row>
    <row r="14" spans="1:26" ht="30" customHeight="1" x14ac:dyDescent="0.3">
      <c r="A14" s="14">
        <f t="shared" si="0"/>
        <v>11</v>
      </c>
      <c r="B14" s="15" t="s">
        <v>172</v>
      </c>
      <c r="C14" s="15" t="s">
        <v>767</v>
      </c>
      <c r="D14" s="15" t="s">
        <v>768</v>
      </c>
      <c r="E14" s="19" t="s">
        <v>769</v>
      </c>
      <c r="F14" s="15" t="s">
        <v>641</v>
      </c>
      <c r="G14" s="15" t="s">
        <v>640</v>
      </c>
      <c r="H14" s="14" t="s">
        <v>171</v>
      </c>
      <c r="I14" s="14" t="s">
        <v>711</v>
      </c>
      <c r="J14" s="14" t="s">
        <v>30</v>
      </c>
      <c r="K14" s="14" t="s">
        <v>713</v>
      </c>
      <c r="L14" s="14" t="s">
        <v>163</v>
      </c>
      <c r="M14" s="14" t="s">
        <v>163</v>
      </c>
      <c r="N14" s="14"/>
      <c r="O14" s="14"/>
      <c r="P14" s="14"/>
      <c r="Q14" s="14"/>
      <c r="R14" s="14">
        <v>0</v>
      </c>
      <c r="S14" s="14">
        <v>100</v>
      </c>
      <c r="T14" s="14" t="s">
        <v>252</v>
      </c>
      <c r="U14" s="5"/>
      <c r="V14" s="5"/>
      <c r="W14" s="14"/>
      <c r="X14" s="5" t="s">
        <v>1170</v>
      </c>
    </row>
    <row r="15" spans="1:26" ht="30" customHeight="1" x14ac:dyDescent="0.3">
      <c r="A15" s="14">
        <f t="shared" si="0"/>
        <v>12</v>
      </c>
      <c r="B15" s="15" t="s">
        <v>172</v>
      </c>
      <c r="C15" s="15" t="s">
        <v>770</v>
      </c>
      <c r="D15" s="15" t="s">
        <v>771</v>
      </c>
      <c r="E15" s="19" t="s">
        <v>772</v>
      </c>
      <c r="F15" s="15" t="s">
        <v>641</v>
      </c>
      <c r="G15" s="15" t="s">
        <v>640</v>
      </c>
      <c r="H15" s="14" t="s">
        <v>171</v>
      </c>
      <c r="I15" s="14" t="s">
        <v>712</v>
      </c>
      <c r="J15" s="14" t="s">
        <v>30</v>
      </c>
      <c r="K15" s="14" t="s">
        <v>713</v>
      </c>
      <c r="L15" s="14" t="s">
        <v>163</v>
      </c>
      <c r="M15" s="14" t="s">
        <v>163</v>
      </c>
      <c r="N15" s="14"/>
      <c r="O15" s="14"/>
      <c r="P15" s="14"/>
      <c r="Q15" s="14"/>
      <c r="R15" s="14">
        <v>0</v>
      </c>
      <c r="S15" s="14">
        <v>100</v>
      </c>
      <c r="T15" s="14" t="s">
        <v>252</v>
      </c>
      <c r="U15" s="5"/>
      <c r="V15" s="5"/>
      <c r="W15" s="14"/>
      <c r="X15" s="5" t="s">
        <v>1170</v>
      </c>
    </row>
    <row r="16" spans="1:26" ht="30" customHeight="1" x14ac:dyDescent="0.3">
      <c r="A16" s="14">
        <f t="shared" si="0"/>
        <v>13</v>
      </c>
      <c r="B16" s="15" t="s">
        <v>172</v>
      </c>
      <c r="C16" s="15" t="s">
        <v>773</v>
      </c>
      <c r="D16" s="15" t="s">
        <v>774</v>
      </c>
      <c r="E16" s="19" t="s">
        <v>775</v>
      </c>
      <c r="F16" s="15" t="s">
        <v>642</v>
      </c>
      <c r="G16" s="15" t="s">
        <v>640</v>
      </c>
      <c r="H16" s="14" t="s">
        <v>171</v>
      </c>
      <c r="I16" s="14" t="s">
        <v>711</v>
      </c>
      <c r="J16" s="14" t="s">
        <v>30</v>
      </c>
      <c r="K16" s="14" t="s">
        <v>713</v>
      </c>
      <c r="L16" s="14" t="s">
        <v>163</v>
      </c>
      <c r="M16" s="14" t="s">
        <v>163</v>
      </c>
      <c r="N16" s="14"/>
      <c r="O16" s="14"/>
      <c r="P16" s="14"/>
      <c r="Q16" s="14"/>
      <c r="R16" s="14">
        <v>0</v>
      </c>
      <c r="S16" s="14">
        <v>100</v>
      </c>
      <c r="T16" s="14" t="s">
        <v>252</v>
      </c>
      <c r="U16" s="5"/>
      <c r="V16" s="5"/>
      <c r="W16" s="14"/>
      <c r="X16" s="5" t="s">
        <v>1170</v>
      </c>
    </row>
    <row r="17" spans="1:24" ht="30" customHeight="1" x14ac:dyDescent="0.3">
      <c r="A17" s="14">
        <f t="shared" si="0"/>
        <v>14</v>
      </c>
      <c r="B17" s="15" t="s">
        <v>172</v>
      </c>
      <c r="C17" s="15" t="s">
        <v>776</v>
      </c>
      <c r="D17" s="15" t="s">
        <v>777</v>
      </c>
      <c r="E17" s="19" t="s">
        <v>778</v>
      </c>
      <c r="F17" s="15" t="s">
        <v>642</v>
      </c>
      <c r="G17" s="15" t="s">
        <v>640</v>
      </c>
      <c r="H17" s="14" t="s">
        <v>171</v>
      </c>
      <c r="I17" s="14" t="s">
        <v>712</v>
      </c>
      <c r="J17" s="14" t="s">
        <v>30</v>
      </c>
      <c r="K17" s="14" t="s">
        <v>713</v>
      </c>
      <c r="L17" s="14" t="s">
        <v>163</v>
      </c>
      <c r="M17" s="14" t="s">
        <v>163</v>
      </c>
      <c r="N17" s="14"/>
      <c r="O17" s="14"/>
      <c r="P17" s="14"/>
      <c r="Q17" s="14"/>
      <c r="R17" s="14">
        <v>0</v>
      </c>
      <c r="S17" s="14">
        <v>100</v>
      </c>
      <c r="T17" s="14" t="s">
        <v>252</v>
      </c>
      <c r="U17" s="5"/>
      <c r="V17" s="5"/>
      <c r="W17" s="14"/>
      <c r="X17" s="5" t="s">
        <v>1170</v>
      </c>
    </row>
    <row r="18" spans="1:24" ht="30" customHeight="1" x14ac:dyDescent="0.3">
      <c r="A18" s="14">
        <f t="shared" si="0"/>
        <v>15</v>
      </c>
      <c r="B18" s="15" t="s">
        <v>172</v>
      </c>
      <c r="C18" s="15" t="s">
        <v>779</v>
      </c>
      <c r="D18" s="15" t="s">
        <v>780</v>
      </c>
      <c r="E18" s="19" t="s">
        <v>781</v>
      </c>
      <c r="F18" s="15" t="s">
        <v>643</v>
      </c>
      <c r="G18" s="15" t="s">
        <v>640</v>
      </c>
      <c r="H18" s="14" t="s">
        <v>171</v>
      </c>
      <c r="I18" s="14" t="s">
        <v>711</v>
      </c>
      <c r="J18" s="14" t="s">
        <v>30</v>
      </c>
      <c r="K18" s="14" t="s">
        <v>713</v>
      </c>
      <c r="L18" s="14" t="s">
        <v>163</v>
      </c>
      <c r="M18" s="14" t="s">
        <v>163</v>
      </c>
      <c r="N18" s="14"/>
      <c r="O18" s="14"/>
      <c r="P18" s="14"/>
      <c r="Q18" s="14"/>
      <c r="R18" s="14">
        <v>0</v>
      </c>
      <c r="S18" s="14">
        <v>100</v>
      </c>
      <c r="T18" s="14" t="s">
        <v>252</v>
      </c>
      <c r="U18" s="5"/>
      <c r="V18" s="5"/>
      <c r="W18" s="14"/>
      <c r="X18" s="5" t="s">
        <v>1170</v>
      </c>
    </row>
    <row r="19" spans="1:24" ht="30" customHeight="1" x14ac:dyDescent="0.3">
      <c r="A19" s="14">
        <f t="shared" si="0"/>
        <v>16</v>
      </c>
      <c r="B19" s="15" t="s">
        <v>172</v>
      </c>
      <c r="C19" s="15" t="s">
        <v>782</v>
      </c>
      <c r="D19" s="15" t="s">
        <v>783</v>
      </c>
      <c r="E19" s="19" t="s">
        <v>784</v>
      </c>
      <c r="F19" s="15" t="s">
        <v>643</v>
      </c>
      <c r="G19" s="15" t="s">
        <v>640</v>
      </c>
      <c r="H19" s="14" t="s">
        <v>171</v>
      </c>
      <c r="I19" s="14" t="s">
        <v>712</v>
      </c>
      <c r="J19" s="14" t="s">
        <v>30</v>
      </c>
      <c r="K19" s="14" t="s">
        <v>713</v>
      </c>
      <c r="L19" s="14" t="s">
        <v>163</v>
      </c>
      <c r="M19" s="14" t="s">
        <v>163</v>
      </c>
      <c r="N19" s="14"/>
      <c r="O19" s="14"/>
      <c r="P19" s="14"/>
      <c r="Q19" s="14"/>
      <c r="R19" s="14">
        <v>0</v>
      </c>
      <c r="S19" s="14">
        <v>100</v>
      </c>
      <c r="T19" s="14" t="s">
        <v>252</v>
      </c>
      <c r="U19" s="5"/>
      <c r="V19" s="5"/>
      <c r="W19" s="14"/>
      <c r="X19" s="5" t="s">
        <v>1170</v>
      </c>
    </row>
    <row r="20" spans="1:24" ht="30" customHeight="1" x14ac:dyDescent="0.3">
      <c r="A20" s="14">
        <f t="shared" si="0"/>
        <v>17</v>
      </c>
      <c r="B20" s="15" t="s">
        <v>172</v>
      </c>
      <c r="C20" s="15" t="s">
        <v>785</v>
      </c>
      <c r="D20" s="15" t="s">
        <v>786</v>
      </c>
      <c r="E20" s="19" t="s">
        <v>787</v>
      </c>
      <c r="F20" s="15" t="s">
        <v>644</v>
      </c>
      <c r="G20" s="15" t="s">
        <v>645</v>
      </c>
      <c r="H20" s="14" t="s">
        <v>171</v>
      </c>
      <c r="I20" s="14" t="s">
        <v>711</v>
      </c>
      <c r="J20" s="14" t="s">
        <v>30</v>
      </c>
      <c r="K20" s="14" t="s">
        <v>713</v>
      </c>
      <c r="L20" s="14" t="s">
        <v>163</v>
      </c>
      <c r="M20" s="14" t="s">
        <v>163</v>
      </c>
      <c r="N20" s="14"/>
      <c r="O20" s="14"/>
      <c r="P20" s="14"/>
      <c r="Q20" s="14"/>
      <c r="R20" s="14">
        <v>0</v>
      </c>
      <c r="S20" s="14">
        <v>100</v>
      </c>
      <c r="T20" s="14" t="s">
        <v>252</v>
      </c>
      <c r="U20" s="5"/>
      <c r="V20" s="5"/>
      <c r="W20" s="14"/>
      <c r="X20" s="5" t="s">
        <v>1170</v>
      </c>
    </row>
    <row r="21" spans="1:24" ht="30" customHeight="1" x14ac:dyDescent="0.3">
      <c r="A21" s="14">
        <f t="shared" si="0"/>
        <v>18</v>
      </c>
      <c r="B21" s="15" t="s">
        <v>172</v>
      </c>
      <c r="C21" s="15" t="s">
        <v>788</v>
      </c>
      <c r="D21" s="15" t="s">
        <v>789</v>
      </c>
      <c r="E21" s="19" t="s">
        <v>790</v>
      </c>
      <c r="F21" s="15" t="s">
        <v>644</v>
      </c>
      <c r="G21" s="15" t="s">
        <v>645</v>
      </c>
      <c r="H21" s="14" t="s">
        <v>171</v>
      </c>
      <c r="I21" s="14" t="s">
        <v>712</v>
      </c>
      <c r="J21" s="14" t="s">
        <v>30</v>
      </c>
      <c r="K21" s="14" t="s">
        <v>713</v>
      </c>
      <c r="L21" s="14" t="s">
        <v>163</v>
      </c>
      <c r="M21" s="14" t="s">
        <v>163</v>
      </c>
      <c r="N21" s="14"/>
      <c r="O21" s="14"/>
      <c r="P21" s="14"/>
      <c r="Q21" s="14"/>
      <c r="R21" s="14">
        <v>0</v>
      </c>
      <c r="S21" s="14">
        <v>100</v>
      </c>
      <c r="T21" s="14" t="s">
        <v>252</v>
      </c>
      <c r="U21" s="5"/>
      <c r="V21" s="5"/>
      <c r="W21" s="14"/>
      <c r="X21" s="5" t="s">
        <v>1170</v>
      </c>
    </row>
    <row r="22" spans="1:24" ht="30" customHeight="1" x14ac:dyDescent="0.3">
      <c r="A22" s="14">
        <f t="shared" si="0"/>
        <v>19</v>
      </c>
      <c r="B22" s="15" t="s">
        <v>172</v>
      </c>
      <c r="C22" s="15" t="s">
        <v>791</v>
      </c>
      <c r="D22" s="15" t="s">
        <v>792</v>
      </c>
      <c r="E22" s="19" t="s">
        <v>793</v>
      </c>
      <c r="F22" s="15" t="s">
        <v>646</v>
      </c>
      <c r="G22" s="15" t="s">
        <v>645</v>
      </c>
      <c r="H22" s="14" t="s">
        <v>171</v>
      </c>
      <c r="I22" s="14" t="s">
        <v>711</v>
      </c>
      <c r="J22" s="14" t="s">
        <v>30</v>
      </c>
      <c r="K22" s="14" t="s">
        <v>713</v>
      </c>
      <c r="L22" s="14" t="s">
        <v>163</v>
      </c>
      <c r="M22" s="14" t="s">
        <v>163</v>
      </c>
      <c r="N22" s="14"/>
      <c r="O22" s="14"/>
      <c r="P22" s="14"/>
      <c r="Q22" s="14"/>
      <c r="R22" s="14">
        <v>0</v>
      </c>
      <c r="S22" s="14">
        <v>100</v>
      </c>
      <c r="T22" s="14" t="s">
        <v>252</v>
      </c>
      <c r="U22" s="5"/>
      <c r="V22" s="5"/>
      <c r="W22" s="14"/>
      <c r="X22" s="5" t="s">
        <v>1170</v>
      </c>
    </row>
    <row r="23" spans="1:24" ht="30" customHeight="1" x14ac:dyDescent="0.3">
      <c r="A23" s="14">
        <f t="shared" si="0"/>
        <v>20</v>
      </c>
      <c r="B23" s="15" t="s">
        <v>172</v>
      </c>
      <c r="C23" s="15" t="s">
        <v>794</v>
      </c>
      <c r="D23" s="15" t="s">
        <v>795</v>
      </c>
      <c r="E23" s="19" t="s">
        <v>796</v>
      </c>
      <c r="F23" s="15" t="s">
        <v>646</v>
      </c>
      <c r="G23" s="15" t="s">
        <v>645</v>
      </c>
      <c r="H23" s="14" t="s">
        <v>171</v>
      </c>
      <c r="I23" s="14" t="s">
        <v>712</v>
      </c>
      <c r="J23" s="14" t="s">
        <v>30</v>
      </c>
      <c r="K23" s="14" t="s">
        <v>713</v>
      </c>
      <c r="L23" s="14" t="s">
        <v>163</v>
      </c>
      <c r="M23" s="14" t="s">
        <v>163</v>
      </c>
      <c r="N23" s="14"/>
      <c r="O23" s="14"/>
      <c r="P23" s="14"/>
      <c r="Q23" s="14"/>
      <c r="R23" s="14">
        <v>0</v>
      </c>
      <c r="S23" s="14">
        <v>100</v>
      </c>
      <c r="T23" s="14" t="s">
        <v>252</v>
      </c>
      <c r="U23" s="5"/>
      <c r="V23" s="5"/>
      <c r="W23" s="14"/>
      <c r="X23" s="5" t="s">
        <v>1170</v>
      </c>
    </row>
    <row r="24" spans="1:24" ht="30" customHeight="1" x14ac:dyDescent="0.3">
      <c r="A24" s="14">
        <f t="shared" si="0"/>
        <v>21</v>
      </c>
      <c r="B24" s="15" t="s">
        <v>172</v>
      </c>
      <c r="C24" s="15" t="s">
        <v>797</v>
      </c>
      <c r="D24" s="15" t="s">
        <v>798</v>
      </c>
      <c r="E24" s="19" t="s">
        <v>799</v>
      </c>
      <c r="F24" s="15" t="s">
        <v>647</v>
      </c>
      <c r="G24" s="15" t="s">
        <v>645</v>
      </c>
      <c r="H24" s="14" t="s">
        <v>171</v>
      </c>
      <c r="I24" s="14" t="s">
        <v>711</v>
      </c>
      <c r="J24" s="14" t="s">
        <v>30</v>
      </c>
      <c r="K24" s="14" t="s">
        <v>713</v>
      </c>
      <c r="L24" s="14" t="s">
        <v>163</v>
      </c>
      <c r="M24" s="14" t="s">
        <v>163</v>
      </c>
      <c r="N24" s="14"/>
      <c r="O24" s="14"/>
      <c r="P24" s="14"/>
      <c r="Q24" s="14"/>
      <c r="R24" s="14">
        <v>0</v>
      </c>
      <c r="S24" s="14">
        <v>100</v>
      </c>
      <c r="T24" s="14" t="s">
        <v>252</v>
      </c>
      <c r="U24" s="5"/>
      <c r="V24" s="5"/>
      <c r="W24" s="14"/>
      <c r="X24" s="5" t="s">
        <v>1170</v>
      </c>
    </row>
    <row r="25" spans="1:24" ht="30" customHeight="1" x14ac:dyDescent="0.3">
      <c r="A25" s="14">
        <f t="shared" si="0"/>
        <v>22</v>
      </c>
      <c r="B25" s="15" t="s">
        <v>172</v>
      </c>
      <c r="C25" s="15" t="s">
        <v>800</v>
      </c>
      <c r="D25" s="15" t="s">
        <v>801</v>
      </c>
      <c r="E25" s="19" t="s">
        <v>802</v>
      </c>
      <c r="F25" s="15" t="s">
        <v>647</v>
      </c>
      <c r="G25" s="15" t="s">
        <v>645</v>
      </c>
      <c r="H25" s="14" t="s">
        <v>171</v>
      </c>
      <c r="I25" s="14" t="s">
        <v>712</v>
      </c>
      <c r="J25" s="14" t="s">
        <v>30</v>
      </c>
      <c r="K25" s="14" t="s">
        <v>713</v>
      </c>
      <c r="L25" s="14" t="s">
        <v>163</v>
      </c>
      <c r="M25" s="14" t="s">
        <v>163</v>
      </c>
      <c r="N25" s="14"/>
      <c r="O25" s="14"/>
      <c r="P25" s="14"/>
      <c r="Q25" s="14"/>
      <c r="R25" s="14">
        <v>0</v>
      </c>
      <c r="S25" s="14">
        <v>100</v>
      </c>
      <c r="T25" s="14" t="s">
        <v>252</v>
      </c>
      <c r="U25" s="5"/>
      <c r="V25" s="5"/>
      <c r="W25" s="14"/>
      <c r="X25" s="5" t="s">
        <v>1170</v>
      </c>
    </row>
    <row r="26" spans="1:24" ht="30" customHeight="1" x14ac:dyDescent="0.3">
      <c r="A26" s="14">
        <f t="shared" si="0"/>
        <v>23</v>
      </c>
      <c r="B26" s="15" t="s">
        <v>172</v>
      </c>
      <c r="C26" s="15" t="s">
        <v>803</v>
      </c>
      <c r="D26" s="15" t="s">
        <v>804</v>
      </c>
      <c r="E26" s="19" t="s">
        <v>805</v>
      </c>
      <c r="F26" s="15" t="s">
        <v>648</v>
      </c>
      <c r="G26" s="15" t="s">
        <v>645</v>
      </c>
      <c r="H26" s="14" t="s">
        <v>171</v>
      </c>
      <c r="I26" s="14" t="s">
        <v>711</v>
      </c>
      <c r="J26" s="14" t="s">
        <v>30</v>
      </c>
      <c r="K26" s="14" t="s">
        <v>713</v>
      </c>
      <c r="L26" s="14" t="s">
        <v>163</v>
      </c>
      <c r="M26" s="14" t="s">
        <v>163</v>
      </c>
      <c r="N26" s="14"/>
      <c r="O26" s="14"/>
      <c r="P26" s="14"/>
      <c r="Q26" s="14"/>
      <c r="R26" s="14">
        <v>0</v>
      </c>
      <c r="S26" s="14">
        <v>100</v>
      </c>
      <c r="T26" s="14" t="s">
        <v>252</v>
      </c>
      <c r="U26" s="5"/>
      <c r="V26" s="5"/>
      <c r="W26" s="14"/>
      <c r="X26" s="5" t="s">
        <v>1170</v>
      </c>
    </row>
    <row r="27" spans="1:24" ht="30" customHeight="1" x14ac:dyDescent="0.3">
      <c r="A27" s="14">
        <f t="shared" si="0"/>
        <v>24</v>
      </c>
      <c r="B27" s="15" t="s">
        <v>172</v>
      </c>
      <c r="C27" s="15" t="s">
        <v>806</v>
      </c>
      <c r="D27" s="15" t="s">
        <v>807</v>
      </c>
      <c r="E27" s="19" t="s">
        <v>808</v>
      </c>
      <c r="F27" s="15" t="s">
        <v>648</v>
      </c>
      <c r="G27" s="15" t="s">
        <v>645</v>
      </c>
      <c r="H27" s="14" t="s">
        <v>171</v>
      </c>
      <c r="I27" s="14" t="s">
        <v>712</v>
      </c>
      <c r="J27" s="14" t="s">
        <v>30</v>
      </c>
      <c r="K27" s="14" t="s">
        <v>713</v>
      </c>
      <c r="L27" s="14" t="s">
        <v>163</v>
      </c>
      <c r="M27" s="14" t="s">
        <v>163</v>
      </c>
      <c r="N27" s="14"/>
      <c r="O27" s="14"/>
      <c r="P27" s="14"/>
      <c r="Q27" s="14"/>
      <c r="R27" s="14">
        <v>0</v>
      </c>
      <c r="S27" s="14">
        <v>100</v>
      </c>
      <c r="T27" s="14" t="s">
        <v>252</v>
      </c>
      <c r="U27" s="5"/>
      <c r="V27" s="5"/>
      <c r="W27" s="14"/>
      <c r="X27" s="5" t="s">
        <v>1170</v>
      </c>
    </row>
    <row r="28" spans="1:24" s="3" customFormat="1" ht="30" customHeight="1" x14ac:dyDescent="0.3">
      <c r="A28" s="14">
        <f t="shared" si="0"/>
        <v>25</v>
      </c>
      <c r="B28" s="71">
        <v>0</v>
      </c>
      <c r="C28" s="15" t="s">
        <v>714</v>
      </c>
      <c r="D28" s="15" t="s">
        <v>593</v>
      </c>
      <c r="E28" s="19" t="s">
        <v>690</v>
      </c>
      <c r="F28" s="71" t="s">
        <v>639</v>
      </c>
      <c r="G28" s="15" t="s">
        <v>640</v>
      </c>
      <c r="H28" s="14" t="s">
        <v>171</v>
      </c>
      <c r="I28" s="14" t="s">
        <v>25</v>
      </c>
      <c r="J28" s="14" t="s">
        <v>30</v>
      </c>
      <c r="K28" s="14" t="s">
        <v>713</v>
      </c>
      <c r="L28" s="14" t="s">
        <v>163</v>
      </c>
      <c r="M28" s="14" t="s">
        <v>163</v>
      </c>
      <c r="N28" s="14"/>
      <c r="O28" s="14"/>
      <c r="P28" s="14"/>
      <c r="Q28" s="14"/>
      <c r="R28" s="14">
        <v>0</v>
      </c>
      <c r="S28" s="14">
        <v>100</v>
      </c>
      <c r="T28" s="14" t="s">
        <v>164</v>
      </c>
      <c r="U28" s="5"/>
      <c r="V28" s="5"/>
      <c r="W28" s="14"/>
      <c r="X28" s="5" t="s">
        <v>1170</v>
      </c>
    </row>
    <row r="29" spans="1:24" s="3" customFormat="1" ht="30" customHeight="1" x14ac:dyDescent="0.3">
      <c r="A29" s="14">
        <f t="shared" si="0"/>
        <v>26</v>
      </c>
      <c r="B29" s="71">
        <v>0</v>
      </c>
      <c r="C29" s="15" t="s">
        <v>715</v>
      </c>
      <c r="D29" s="15" t="s">
        <v>594</v>
      </c>
      <c r="E29" s="19" t="s">
        <v>691</v>
      </c>
      <c r="F29" s="71" t="s">
        <v>641</v>
      </c>
      <c r="G29" s="15" t="s">
        <v>640</v>
      </c>
      <c r="H29" s="14" t="s">
        <v>171</v>
      </c>
      <c r="I29" s="14" t="s">
        <v>25</v>
      </c>
      <c r="J29" s="14" t="s">
        <v>30</v>
      </c>
      <c r="K29" s="14" t="s">
        <v>713</v>
      </c>
      <c r="L29" s="14" t="s">
        <v>163</v>
      </c>
      <c r="M29" s="14" t="s">
        <v>163</v>
      </c>
      <c r="N29" s="14"/>
      <c r="O29" s="14"/>
      <c r="P29" s="14"/>
      <c r="Q29" s="14"/>
      <c r="R29" s="14">
        <v>0</v>
      </c>
      <c r="S29" s="14">
        <v>100</v>
      </c>
      <c r="T29" s="14" t="s">
        <v>164</v>
      </c>
      <c r="U29" s="5"/>
      <c r="V29" s="5"/>
      <c r="W29" s="14"/>
      <c r="X29" s="5" t="s">
        <v>1170</v>
      </c>
    </row>
    <row r="30" spans="1:24" s="3" customFormat="1" ht="30" customHeight="1" x14ac:dyDescent="0.3">
      <c r="A30" s="14">
        <f t="shared" si="0"/>
        <v>27</v>
      </c>
      <c r="B30" s="71">
        <v>0</v>
      </c>
      <c r="C30" s="15" t="s">
        <v>716</v>
      </c>
      <c r="D30" s="15" t="s">
        <v>595</v>
      </c>
      <c r="E30" s="19" t="s">
        <v>692</v>
      </c>
      <c r="F30" s="71" t="s">
        <v>642</v>
      </c>
      <c r="G30" s="15" t="s">
        <v>640</v>
      </c>
      <c r="H30" s="14" t="s">
        <v>171</v>
      </c>
      <c r="I30" s="14" t="s">
        <v>25</v>
      </c>
      <c r="J30" s="14" t="s">
        <v>30</v>
      </c>
      <c r="K30" s="14" t="s">
        <v>713</v>
      </c>
      <c r="L30" s="14" t="s">
        <v>163</v>
      </c>
      <c r="M30" s="14" t="s">
        <v>163</v>
      </c>
      <c r="N30" s="14"/>
      <c r="O30" s="14"/>
      <c r="P30" s="14"/>
      <c r="Q30" s="14"/>
      <c r="R30" s="14">
        <v>0</v>
      </c>
      <c r="S30" s="14">
        <v>100</v>
      </c>
      <c r="T30" s="14" t="s">
        <v>164</v>
      </c>
      <c r="U30" s="5"/>
      <c r="V30" s="5"/>
      <c r="W30" s="14"/>
      <c r="X30" s="5" t="s">
        <v>1170</v>
      </c>
    </row>
    <row r="31" spans="1:24" s="3" customFormat="1" ht="30" customHeight="1" x14ac:dyDescent="0.3">
      <c r="A31" s="14">
        <f t="shared" si="0"/>
        <v>28</v>
      </c>
      <c r="B31" s="71">
        <v>0</v>
      </c>
      <c r="C31" s="15" t="s">
        <v>717</v>
      </c>
      <c r="D31" s="15" t="s">
        <v>596</v>
      </c>
      <c r="E31" s="19" t="s">
        <v>693</v>
      </c>
      <c r="F31" s="71" t="s">
        <v>643</v>
      </c>
      <c r="G31" s="15" t="s">
        <v>640</v>
      </c>
      <c r="H31" s="14" t="s">
        <v>171</v>
      </c>
      <c r="I31" s="14" t="s">
        <v>25</v>
      </c>
      <c r="J31" s="14" t="s">
        <v>30</v>
      </c>
      <c r="K31" s="14" t="s">
        <v>713</v>
      </c>
      <c r="L31" s="14" t="s">
        <v>163</v>
      </c>
      <c r="M31" s="14" t="s">
        <v>163</v>
      </c>
      <c r="N31" s="14"/>
      <c r="O31" s="14"/>
      <c r="P31" s="14"/>
      <c r="Q31" s="14"/>
      <c r="R31" s="14">
        <v>0</v>
      </c>
      <c r="S31" s="14">
        <v>100</v>
      </c>
      <c r="T31" s="14" t="s">
        <v>164</v>
      </c>
      <c r="U31" s="5"/>
      <c r="V31" s="5"/>
      <c r="W31" s="14"/>
      <c r="X31" s="5" t="s">
        <v>1170</v>
      </c>
    </row>
    <row r="32" spans="1:24" s="3" customFormat="1" ht="30" customHeight="1" x14ac:dyDescent="0.3">
      <c r="A32" s="14">
        <f t="shared" si="0"/>
        <v>29</v>
      </c>
      <c r="B32" s="71">
        <v>0</v>
      </c>
      <c r="C32" s="15" t="s">
        <v>718</v>
      </c>
      <c r="D32" s="15" t="s">
        <v>597</v>
      </c>
      <c r="E32" s="19" t="s">
        <v>694</v>
      </c>
      <c r="F32" s="71" t="s">
        <v>644</v>
      </c>
      <c r="G32" s="15" t="s">
        <v>645</v>
      </c>
      <c r="H32" s="14" t="s">
        <v>171</v>
      </c>
      <c r="I32" s="14" t="s">
        <v>25</v>
      </c>
      <c r="J32" s="14" t="s">
        <v>30</v>
      </c>
      <c r="K32" s="14" t="s">
        <v>713</v>
      </c>
      <c r="L32" s="14" t="s">
        <v>163</v>
      </c>
      <c r="M32" s="14" t="s">
        <v>163</v>
      </c>
      <c r="N32" s="14"/>
      <c r="O32" s="14"/>
      <c r="P32" s="14"/>
      <c r="Q32" s="14"/>
      <c r="R32" s="14">
        <v>0</v>
      </c>
      <c r="S32" s="14">
        <v>100</v>
      </c>
      <c r="T32" s="14" t="s">
        <v>164</v>
      </c>
      <c r="U32" s="5"/>
      <c r="V32" s="5"/>
      <c r="W32" s="14"/>
      <c r="X32" s="5" t="s">
        <v>1170</v>
      </c>
    </row>
    <row r="33" spans="1:24" s="3" customFormat="1" ht="30" customHeight="1" x14ac:dyDescent="0.3">
      <c r="A33" s="14">
        <f t="shared" si="0"/>
        <v>30</v>
      </c>
      <c r="B33" s="71">
        <v>0</v>
      </c>
      <c r="C33" s="15" t="s">
        <v>719</v>
      </c>
      <c r="D33" s="15" t="s">
        <v>598</v>
      </c>
      <c r="E33" s="19" t="s">
        <v>695</v>
      </c>
      <c r="F33" s="71" t="s">
        <v>646</v>
      </c>
      <c r="G33" s="15" t="s">
        <v>645</v>
      </c>
      <c r="H33" s="14" t="s">
        <v>171</v>
      </c>
      <c r="I33" s="14" t="s">
        <v>25</v>
      </c>
      <c r="J33" s="14" t="s">
        <v>30</v>
      </c>
      <c r="K33" s="14" t="s">
        <v>713</v>
      </c>
      <c r="L33" s="14" t="s">
        <v>163</v>
      </c>
      <c r="M33" s="14" t="s">
        <v>163</v>
      </c>
      <c r="N33" s="14"/>
      <c r="O33" s="14"/>
      <c r="P33" s="14"/>
      <c r="Q33" s="14"/>
      <c r="R33" s="14">
        <v>0</v>
      </c>
      <c r="S33" s="14">
        <v>100</v>
      </c>
      <c r="T33" s="14" t="s">
        <v>164</v>
      </c>
      <c r="U33" s="5"/>
      <c r="V33" s="5"/>
      <c r="W33" s="14"/>
      <c r="X33" s="5" t="s">
        <v>1170</v>
      </c>
    </row>
    <row r="34" spans="1:24" s="3" customFormat="1" ht="30" customHeight="1" x14ac:dyDescent="0.3">
      <c r="A34" s="14">
        <f t="shared" si="0"/>
        <v>31</v>
      </c>
      <c r="B34" s="71">
        <v>0</v>
      </c>
      <c r="C34" s="15" t="s">
        <v>720</v>
      </c>
      <c r="D34" s="15" t="s">
        <v>599</v>
      </c>
      <c r="E34" s="19" t="s">
        <v>696</v>
      </c>
      <c r="F34" s="71" t="s">
        <v>647</v>
      </c>
      <c r="G34" s="15" t="s">
        <v>645</v>
      </c>
      <c r="H34" s="14" t="s">
        <v>171</v>
      </c>
      <c r="I34" s="14" t="s">
        <v>25</v>
      </c>
      <c r="J34" s="14" t="s">
        <v>30</v>
      </c>
      <c r="K34" s="14" t="s">
        <v>713</v>
      </c>
      <c r="L34" s="14" t="s">
        <v>163</v>
      </c>
      <c r="M34" s="14" t="s">
        <v>163</v>
      </c>
      <c r="N34" s="14"/>
      <c r="O34" s="14"/>
      <c r="P34" s="14"/>
      <c r="Q34" s="14"/>
      <c r="R34" s="14">
        <v>0</v>
      </c>
      <c r="S34" s="14">
        <v>100</v>
      </c>
      <c r="T34" s="14" t="s">
        <v>164</v>
      </c>
      <c r="U34" s="5"/>
      <c r="V34" s="5"/>
      <c r="W34" s="14"/>
      <c r="X34" s="5" t="s">
        <v>1170</v>
      </c>
    </row>
    <row r="35" spans="1:24" s="3" customFormat="1" ht="30" customHeight="1" x14ac:dyDescent="0.3">
      <c r="A35" s="14">
        <f t="shared" si="0"/>
        <v>32</v>
      </c>
      <c r="B35" s="71">
        <v>0</v>
      </c>
      <c r="C35" s="15" t="s">
        <v>721</v>
      </c>
      <c r="D35" s="15" t="s">
        <v>600</v>
      </c>
      <c r="E35" s="19" t="s">
        <v>697</v>
      </c>
      <c r="F35" s="71" t="s">
        <v>648</v>
      </c>
      <c r="G35" s="15" t="s">
        <v>645</v>
      </c>
      <c r="H35" s="14" t="s">
        <v>171</v>
      </c>
      <c r="I35" s="14" t="s">
        <v>25</v>
      </c>
      <c r="J35" s="14" t="s">
        <v>30</v>
      </c>
      <c r="K35" s="14" t="s">
        <v>713</v>
      </c>
      <c r="L35" s="14" t="s">
        <v>163</v>
      </c>
      <c r="M35" s="14" t="s">
        <v>163</v>
      </c>
      <c r="N35" s="14"/>
      <c r="O35" s="14"/>
      <c r="P35" s="14"/>
      <c r="Q35" s="14"/>
      <c r="R35" s="14">
        <v>0</v>
      </c>
      <c r="S35" s="14">
        <v>100</v>
      </c>
      <c r="T35" s="14" t="s">
        <v>164</v>
      </c>
      <c r="U35" s="5"/>
      <c r="V35" s="5"/>
      <c r="W35" s="14"/>
      <c r="X35" s="5" t="s">
        <v>1170</v>
      </c>
    </row>
    <row r="36" spans="1:24" s="3" customFormat="1" ht="30" customHeight="1" x14ac:dyDescent="0.3">
      <c r="A36" s="14">
        <f t="shared" si="0"/>
        <v>33</v>
      </c>
      <c r="B36" s="15" t="s">
        <v>172</v>
      </c>
      <c r="C36" s="15" t="s">
        <v>722</v>
      </c>
      <c r="D36" s="15" t="s">
        <v>601</v>
      </c>
      <c r="E36" s="19" t="s">
        <v>698</v>
      </c>
      <c r="F36" s="15" t="s">
        <v>639</v>
      </c>
      <c r="G36" s="15" t="s">
        <v>640</v>
      </c>
      <c r="H36" s="14" t="s">
        <v>171</v>
      </c>
      <c r="I36" s="14" t="s">
        <v>25</v>
      </c>
      <c r="J36" s="14" t="s">
        <v>30</v>
      </c>
      <c r="K36" s="14" t="s">
        <v>713</v>
      </c>
      <c r="L36" s="14" t="s">
        <v>163</v>
      </c>
      <c r="M36" s="14" t="s">
        <v>163</v>
      </c>
      <c r="N36" s="14"/>
      <c r="O36" s="14"/>
      <c r="P36" s="14"/>
      <c r="Q36" s="14"/>
      <c r="R36" s="14">
        <v>0</v>
      </c>
      <c r="S36" s="14">
        <v>10</v>
      </c>
      <c r="T36" s="14" t="s">
        <v>633</v>
      </c>
      <c r="U36" s="5"/>
      <c r="V36" s="5"/>
      <c r="W36" s="14"/>
      <c r="X36" s="5" t="s">
        <v>1170</v>
      </c>
    </row>
    <row r="37" spans="1:24" s="3" customFormat="1" ht="30" customHeight="1" x14ac:dyDescent="0.3">
      <c r="A37" s="14">
        <f t="shared" si="0"/>
        <v>34</v>
      </c>
      <c r="B37" s="15" t="s">
        <v>172</v>
      </c>
      <c r="C37" s="15" t="s">
        <v>723</v>
      </c>
      <c r="D37" s="15" t="s">
        <v>602</v>
      </c>
      <c r="E37" s="19" t="s">
        <v>736</v>
      </c>
      <c r="F37" s="15" t="s">
        <v>641</v>
      </c>
      <c r="G37" s="15" t="s">
        <v>640</v>
      </c>
      <c r="H37" s="14" t="s">
        <v>171</v>
      </c>
      <c r="I37" s="14" t="s">
        <v>25</v>
      </c>
      <c r="J37" s="14" t="s">
        <v>30</v>
      </c>
      <c r="K37" s="14" t="s">
        <v>713</v>
      </c>
      <c r="L37" s="14" t="s">
        <v>163</v>
      </c>
      <c r="M37" s="14" t="s">
        <v>163</v>
      </c>
      <c r="N37" s="14"/>
      <c r="O37" s="14"/>
      <c r="P37" s="14"/>
      <c r="Q37" s="14"/>
      <c r="R37" s="14">
        <v>0</v>
      </c>
      <c r="S37" s="14">
        <v>10</v>
      </c>
      <c r="T37" s="14" t="s">
        <v>633</v>
      </c>
      <c r="U37" s="5"/>
      <c r="V37" s="5"/>
      <c r="W37" s="14"/>
      <c r="X37" s="5" t="s">
        <v>1170</v>
      </c>
    </row>
    <row r="38" spans="1:24" s="3" customFormat="1" ht="30" customHeight="1" x14ac:dyDescent="0.3">
      <c r="A38" s="14">
        <f t="shared" si="0"/>
        <v>35</v>
      </c>
      <c r="B38" s="15" t="s">
        <v>172</v>
      </c>
      <c r="C38" s="15" t="s">
        <v>724</v>
      </c>
      <c r="D38" s="15" t="s">
        <v>603</v>
      </c>
      <c r="E38" s="19" t="s">
        <v>734</v>
      </c>
      <c r="F38" s="15" t="s">
        <v>642</v>
      </c>
      <c r="G38" s="15" t="s">
        <v>640</v>
      </c>
      <c r="H38" s="14" t="s">
        <v>171</v>
      </c>
      <c r="I38" s="14" t="s">
        <v>25</v>
      </c>
      <c r="J38" s="14" t="s">
        <v>30</v>
      </c>
      <c r="K38" s="14" t="s">
        <v>713</v>
      </c>
      <c r="L38" s="14" t="s">
        <v>163</v>
      </c>
      <c r="M38" s="14" t="s">
        <v>163</v>
      </c>
      <c r="N38" s="14"/>
      <c r="O38" s="14"/>
      <c r="P38" s="14"/>
      <c r="Q38" s="14"/>
      <c r="R38" s="14">
        <v>0</v>
      </c>
      <c r="S38" s="14">
        <v>10</v>
      </c>
      <c r="T38" s="14" t="s">
        <v>633</v>
      </c>
      <c r="U38" s="5"/>
      <c r="V38" s="5"/>
      <c r="W38" s="14"/>
      <c r="X38" s="5" t="s">
        <v>1170</v>
      </c>
    </row>
    <row r="39" spans="1:24" s="3" customFormat="1" ht="30" customHeight="1" x14ac:dyDescent="0.3">
      <c r="A39" s="14">
        <f t="shared" si="0"/>
        <v>36</v>
      </c>
      <c r="B39" s="15" t="s">
        <v>172</v>
      </c>
      <c r="C39" s="15" t="s">
        <v>725</v>
      </c>
      <c r="D39" s="15" t="s">
        <v>604</v>
      </c>
      <c r="E39" s="19" t="s">
        <v>735</v>
      </c>
      <c r="F39" s="15" t="s">
        <v>643</v>
      </c>
      <c r="G39" s="15" t="s">
        <v>640</v>
      </c>
      <c r="H39" s="14" t="s">
        <v>171</v>
      </c>
      <c r="I39" s="14" t="s">
        <v>25</v>
      </c>
      <c r="J39" s="14" t="s">
        <v>30</v>
      </c>
      <c r="K39" s="14" t="s">
        <v>713</v>
      </c>
      <c r="L39" s="14" t="s">
        <v>163</v>
      </c>
      <c r="M39" s="14" t="s">
        <v>163</v>
      </c>
      <c r="N39" s="14"/>
      <c r="O39" s="14"/>
      <c r="P39" s="14"/>
      <c r="Q39" s="14"/>
      <c r="R39" s="14">
        <v>0</v>
      </c>
      <c r="S39" s="14">
        <v>10</v>
      </c>
      <c r="T39" s="14" t="s">
        <v>633</v>
      </c>
      <c r="U39" s="5"/>
      <c r="V39" s="5"/>
      <c r="W39" s="14"/>
      <c r="X39" s="5" t="s">
        <v>1170</v>
      </c>
    </row>
    <row r="40" spans="1:24" s="3" customFormat="1" ht="30" customHeight="1" x14ac:dyDescent="0.3">
      <c r="A40" s="14">
        <f t="shared" si="0"/>
        <v>37</v>
      </c>
      <c r="B40" s="15" t="s">
        <v>172</v>
      </c>
      <c r="C40" s="15" t="s">
        <v>726</v>
      </c>
      <c r="D40" s="15" t="s">
        <v>605</v>
      </c>
      <c r="E40" s="19" t="s">
        <v>730</v>
      </c>
      <c r="F40" s="15" t="s">
        <v>644</v>
      </c>
      <c r="G40" s="15" t="s">
        <v>645</v>
      </c>
      <c r="H40" s="14" t="s">
        <v>171</v>
      </c>
      <c r="I40" s="14" t="s">
        <v>25</v>
      </c>
      <c r="J40" s="14" t="s">
        <v>30</v>
      </c>
      <c r="K40" s="14" t="s">
        <v>713</v>
      </c>
      <c r="L40" s="14" t="s">
        <v>163</v>
      </c>
      <c r="M40" s="14" t="s">
        <v>163</v>
      </c>
      <c r="N40" s="14"/>
      <c r="O40" s="14"/>
      <c r="P40" s="14"/>
      <c r="Q40" s="14"/>
      <c r="R40" s="14">
        <v>0</v>
      </c>
      <c r="S40" s="14">
        <v>10</v>
      </c>
      <c r="T40" s="14" t="s">
        <v>633</v>
      </c>
      <c r="U40" s="5"/>
      <c r="V40" s="5"/>
      <c r="W40" s="14"/>
      <c r="X40" s="5" t="s">
        <v>1170</v>
      </c>
    </row>
    <row r="41" spans="1:24" s="3" customFormat="1" ht="30" customHeight="1" x14ac:dyDescent="0.3">
      <c r="A41" s="14">
        <f t="shared" si="0"/>
        <v>38</v>
      </c>
      <c r="B41" s="15" t="s">
        <v>172</v>
      </c>
      <c r="C41" s="15" t="s">
        <v>727</v>
      </c>
      <c r="D41" s="15" t="s">
        <v>606</v>
      </c>
      <c r="E41" s="19" t="s">
        <v>731</v>
      </c>
      <c r="F41" s="15" t="s">
        <v>646</v>
      </c>
      <c r="G41" s="15" t="s">
        <v>645</v>
      </c>
      <c r="H41" s="14" t="s">
        <v>171</v>
      </c>
      <c r="I41" s="14" t="s">
        <v>25</v>
      </c>
      <c r="J41" s="14" t="s">
        <v>30</v>
      </c>
      <c r="K41" s="14" t="s">
        <v>713</v>
      </c>
      <c r="L41" s="14" t="s">
        <v>163</v>
      </c>
      <c r="M41" s="14" t="s">
        <v>163</v>
      </c>
      <c r="N41" s="14"/>
      <c r="O41" s="14"/>
      <c r="P41" s="14"/>
      <c r="Q41" s="14"/>
      <c r="R41" s="14">
        <v>0</v>
      </c>
      <c r="S41" s="14">
        <v>10</v>
      </c>
      <c r="T41" s="14" t="s">
        <v>633</v>
      </c>
      <c r="U41" s="5"/>
      <c r="V41" s="5"/>
      <c r="W41" s="14"/>
      <c r="X41" s="5" t="s">
        <v>1170</v>
      </c>
    </row>
    <row r="42" spans="1:24" s="3" customFormat="1" ht="30" customHeight="1" x14ac:dyDescent="0.3">
      <c r="A42" s="14">
        <f t="shared" si="0"/>
        <v>39</v>
      </c>
      <c r="B42" s="15" t="s">
        <v>172</v>
      </c>
      <c r="C42" s="15" t="s">
        <v>728</v>
      </c>
      <c r="D42" s="15" t="s">
        <v>607</v>
      </c>
      <c r="E42" s="19" t="s">
        <v>732</v>
      </c>
      <c r="F42" s="15" t="s">
        <v>647</v>
      </c>
      <c r="G42" s="15" t="s">
        <v>645</v>
      </c>
      <c r="H42" s="14" t="s">
        <v>171</v>
      </c>
      <c r="I42" s="14" t="s">
        <v>25</v>
      </c>
      <c r="J42" s="14" t="s">
        <v>30</v>
      </c>
      <c r="K42" s="14" t="s">
        <v>713</v>
      </c>
      <c r="L42" s="14" t="s">
        <v>163</v>
      </c>
      <c r="M42" s="14" t="s">
        <v>163</v>
      </c>
      <c r="N42" s="14"/>
      <c r="O42" s="14"/>
      <c r="P42" s="14"/>
      <c r="Q42" s="14"/>
      <c r="R42" s="14">
        <v>0</v>
      </c>
      <c r="S42" s="14">
        <v>10</v>
      </c>
      <c r="T42" s="14" t="s">
        <v>633</v>
      </c>
      <c r="U42" s="5"/>
      <c r="V42" s="5"/>
      <c r="W42" s="14"/>
      <c r="X42" s="5" t="s">
        <v>1170</v>
      </c>
    </row>
    <row r="43" spans="1:24" s="3" customFormat="1" ht="30" customHeight="1" x14ac:dyDescent="0.3">
      <c r="A43" s="14">
        <f t="shared" si="0"/>
        <v>40</v>
      </c>
      <c r="B43" s="15" t="s">
        <v>172</v>
      </c>
      <c r="C43" s="15" t="s">
        <v>729</v>
      </c>
      <c r="D43" s="15" t="s">
        <v>608</v>
      </c>
      <c r="E43" s="19" t="s">
        <v>733</v>
      </c>
      <c r="F43" s="15" t="s">
        <v>648</v>
      </c>
      <c r="G43" s="15" t="s">
        <v>645</v>
      </c>
      <c r="H43" s="14" t="s">
        <v>171</v>
      </c>
      <c r="I43" s="14" t="s">
        <v>25</v>
      </c>
      <c r="J43" s="14" t="s">
        <v>30</v>
      </c>
      <c r="K43" s="14" t="s">
        <v>713</v>
      </c>
      <c r="L43" s="14" t="s">
        <v>163</v>
      </c>
      <c r="M43" s="14" t="s">
        <v>163</v>
      </c>
      <c r="N43" s="14"/>
      <c r="O43" s="14"/>
      <c r="P43" s="14"/>
      <c r="Q43" s="14"/>
      <c r="R43" s="14">
        <v>0</v>
      </c>
      <c r="S43" s="14">
        <v>10</v>
      </c>
      <c r="T43" s="14" t="s">
        <v>633</v>
      </c>
      <c r="U43" s="5"/>
      <c r="V43" s="5"/>
      <c r="W43" s="14"/>
      <c r="X43" s="5" t="s">
        <v>1170</v>
      </c>
    </row>
    <row r="44" spans="1:24" ht="30" customHeight="1" x14ac:dyDescent="0.3">
      <c r="A44" s="14">
        <f t="shared" si="0"/>
        <v>41</v>
      </c>
      <c r="B44" s="15" t="s">
        <v>172</v>
      </c>
      <c r="C44" s="15" t="s">
        <v>809</v>
      </c>
      <c r="D44" s="15" t="s">
        <v>810</v>
      </c>
      <c r="E44" s="19" t="s">
        <v>811</v>
      </c>
      <c r="F44" s="15" t="s">
        <v>609</v>
      </c>
      <c r="G44" s="15" t="s">
        <v>640</v>
      </c>
      <c r="H44" s="14" t="s">
        <v>171</v>
      </c>
      <c r="I44" s="14" t="s">
        <v>29</v>
      </c>
      <c r="J44" s="14" t="s">
        <v>31</v>
      </c>
      <c r="K44" s="14" t="s">
        <v>163</v>
      </c>
      <c r="L44" s="14" t="s">
        <v>163</v>
      </c>
      <c r="M44" s="14" t="s">
        <v>742</v>
      </c>
      <c r="N44" s="14"/>
      <c r="O44" s="14"/>
      <c r="P44" s="14"/>
      <c r="Q44" s="14"/>
      <c r="R44" s="14"/>
      <c r="S44" s="14"/>
      <c r="T44" s="14"/>
      <c r="U44" s="5"/>
      <c r="V44" s="5"/>
      <c r="W44" s="14"/>
      <c r="X44" s="5"/>
    </row>
    <row r="45" spans="1:24" ht="30" customHeight="1" x14ac:dyDescent="0.3">
      <c r="A45" s="14">
        <f t="shared" si="0"/>
        <v>42</v>
      </c>
      <c r="B45" s="15" t="s">
        <v>172</v>
      </c>
      <c r="C45" s="15" t="s">
        <v>812</v>
      </c>
      <c r="D45" s="15" t="s">
        <v>813</v>
      </c>
      <c r="E45" s="19" t="s">
        <v>814</v>
      </c>
      <c r="F45" s="15" t="s">
        <v>609</v>
      </c>
      <c r="G45" s="15" t="s">
        <v>640</v>
      </c>
      <c r="H45" s="14" t="s">
        <v>171</v>
      </c>
      <c r="I45" s="14" t="s">
        <v>29</v>
      </c>
      <c r="J45" s="14" t="s">
        <v>31</v>
      </c>
      <c r="K45" s="14" t="s">
        <v>163</v>
      </c>
      <c r="L45" s="14" t="s">
        <v>163</v>
      </c>
      <c r="M45" s="14" t="s">
        <v>32</v>
      </c>
      <c r="N45" s="14"/>
      <c r="O45" s="14"/>
      <c r="P45" s="14"/>
      <c r="Q45" s="14"/>
      <c r="R45" s="14"/>
      <c r="S45" s="14"/>
      <c r="T45" s="14"/>
      <c r="U45" s="5"/>
      <c r="V45" s="5"/>
      <c r="W45" s="14"/>
      <c r="X45" s="5"/>
    </row>
    <row r="46" spans="1:24" ht="30" customHeight="1" x14ac:dyDescent="0.3">
      <c r="A46" s="14">
        <f t="shared" si="0"/>
        <v>43</v>
      </c>
      <c r="B46" s="15" t="s">
        <v>172</v>
      </c>
      <c r="C46" s="15" t="s">
        <v>815</v>
      </c>
      <c r="D46" s="15" t="s">
        <v>816</v>
      </c>
      <c r="E46" s="19" t="s">
        <v>739</v>
      </c>
      <c r="F46" s="15" t="s">
        <v>609</v>
      </c>
      <c r="G46" s="15" t="s">
        <v>1325</v>
      </c>
      <c r="H46" s="14" t="s">
        <v>171</v>
      </c>
      <c r="I46" s="14" t="s">
        <v>29</v>
      </c>
      <c r="J46" s="14" t="s">
        <v>31</v>
      </c>
      <c r="K46" s="14" t="s">
        <v>163</v>
      </c>
      <c r="L46" s="14" t="s">
        <v>166</v>
      </c>
      <c r="M46" s="14" t="s">
        <v>743</v>
      </c>
      <c r="N46" s="14"/>
      <c r="O46" s="14"/>
      <c r="P46" s="14"/>
      <c r="Q46" s="14"/>
      <c r="R46" s="14"/>
      <c r="S46" s="14"/>
      <c r="T46" s="14"/>
      <c r="U46" s="5"/>
      <c r="V46" s="5"/>
      <c r="W46" s="14"/>
      <c r="X46" s="5"/>
    </row>
    <row r="47" spans="1:24" s="73" customFormat="1" ht="30" customHeight="1" x14ac:dyDescent="0.3">
      <c r="A47" s="71">
        <f t="shared" si="0"/>
        <v>44</v>
      </c>
      <c r="B47" s="71">
        <v>0</v>
      </c>
      <c r="C47" s="71" t="s">
        <v>1322</v>
      </c>
      <c r="D47" s="71" t="s">
        <v>1323</v>
      </c>
      <c r="E47" s="72" t="s">
        <v>1050</v>
      </c>
      <c r="F47" s="71" t="s">
        <v>1324</v>
      </c>
      <c r="G47" s="71" t="s">
        <v>1326</v>
      </c>
      <c r="H47" s="71" t="s">
        <v>171</v>
      </c>
      <c r="I47" s="71" t="s">
        <v>29</v>
      </c>
      <c r="J47" s="71" t="s">
        <v>31</v>
      </c>
      <c r="K47" s="75" t="s">
        <v>245</v>
      </c>
      <c r="L47" s="71" t="s">
        <v>1247</v>
      </c>
      <c r="M47" s="71" t="s">
        <v>1248</v>
      </c>
      <c r="N47" s="71"/>
      <c r="O47" s="71"/>
      <c r="P47" s="71"/>
      <c r="Q47" s="71"/>
      <c r="R47" s="71"/>
      <c r="S47" s="71"/>
      <c r="T47" s="71"/>
      <c r="U47" s="72"/>
      <c r="V47" s="72"/>
      <c r="W47" s="71"/>
      <c r="X47" s="72"/>
    </row>
    <row r="48" spans="1:24" ht="30" customHeight="1" x14ac:dyDescent="0.3">
      <c r="A48" s="14">
        <f t="shared" si="0"/>
        <v>45</v>
      </c>
      <c r="B48" s="15" t="s">
        <v>172</v>
      </c>
      <c r="C48" s="15" t="s">
        <v>817</v>
      </c>
      <c r="D48" s="15" t="s">
        <v>609</v>
      </c>
      <c r="E48" s="19" t="s">
        <v>818</v>
      </c>
      <c r="F48" s="15" t="s">
        <v>609</v>
      </c>
      <c r="G48" s="15" t="s">
        <v>640</v>
      </c>
      <c r="H48" s="14" t="s">
        <v>171</v>
      </c>
      <c r="I48" s="14" t="s">
        <v>24</v>
      </c>
      <c r="J48" s="14" t="s">
        <v>31</v>
      </c>
      <c r="K48" s="14" t="s">
        <v>163</v>
      </c>
      <c r="L48" s="14" t="s">
        <v>163</v>
      </c>
      <c r="M48" s="14" t="s">
        <v>32</v>
      </c>
      <c r="N48" s="14"/>
      <c r="O48" s="14"/>
      <c r="P48" s="14"/>
      <c r="Q48" s="14"/>
      <c r="R48" s="14"/>
      <c r="S48" s="14"/>
      <c r="T48" s="14"/>
      <c r="U48" s="5"/>
      <c r="V48" s="5"/>
      <c r="W48" s="14"/>
      <c r="X48" s="5"/>
    </row>
    <row r="49" spans="1:24" ht="30" customHeight="1" x14ac:dyDescent="0.3">
      <c r="A49" s="14">
        <f t="shared" si="0"/>
        <v>46</v>
      </c>
      <c r="B49" s="15" t="s">
        <v>172</v>
      </c>
      <c r="C49" s="15" t="s">
        <v>819</v>
      </c>
      <c r="D49" s="15" t="s">
        <v>609</v>
      </c>
      <c r="E49" s="19" t="s">
        <v>820</v>
      </c>
      <c r="F49" s="15" t="s">
        <v>609</v>
      </c>
      <c r="G49" s="15" t="s">
        <v>640</v>
      </c>
      <c r="H49" s="14" t="s">
        <v>171</v>
      </c>
      <c r="I49" s="14" t="s">
        <v>24</v>
      </c>
      <c r="J49" s="14" t="s">
        <v>31</v>
      </c>
      <c r="K49" s="14" t="s">
        <v>163</v>
      </c>
      <c r="L49" s="14" t="s">
        <v>163</v>
      </c>
      <c r="M49" s="14" t="s">
        <v>33</v>
      </c>
      <c r="N49" s="14"/>
      <c r="O49" s="14"/>
      <c r="P49" s="14"/>
      <c r="Q49" s="14"/>
      <c r="R49" s="14"/>
      <c r="S49" s="14"/>
      <c r="T49" s="14"/>
      <c r="U49" s="5"/>
      <c r="V49" s="5"/>
      <c r="W49" s="14"/>
      <c r="X49" s="5"/>
    </row>
    <row r="50" spans="1:24" ht="30" customHeight="1" x14ac:dyDescent="0.3">
      <c r="A50" s="14">
        <f t="shared" si="0"/>
        <v>47</v>
      </c>
      <c r="B50" s="15" t="s">
        <v>172</v>
      </c>
      <c r="C50" s="15" t="s">
        <v>821</v>
      </c>
      <c r="D50" s="15" t="s">
        <v>822</v>
      </c>
      <c r="E50" s="19" t="s">
        <v>823</v>
      </c>
      <c r="F50" s="15" t="s">
        <v>610</v>
      </c>
      <c r="G50" s="15" t="s">
        <v>640</v>
      </c>
      <c r="H50" s="14" t="s">
        <v>171</v>
      </c>
      <c r="I50" s="14" t="s">
        <v>29</v>
      </c>
      <c r="J50" s="14" t="s">
        <v>31</v>
      </c>
      <c r="K50" s="14" t="s">
        <v>163</v>
      </c>
      <c r="L50" s="14" t="s">
        <v>163</v>
      </c>
      <c r="M50" s="14" t="s">
        <v>742</v>
      </c>
      <c r="N50" s="14"/>
      <c r="O50" s="14"/>
      <c r="P50" s="14"/>
      <c r="Q50" s="14"/>
      <c r="R50" s="14"/>
      <c r="S50" s="14"/>
      <c r="T50" s="14"/>
      <c r="U50" s="5"/>
      <c r="V50" s="5"/>
      <c r="W50" s="14"/>
      <c r="X50" s="5"/>
    </row>
    <row r="51" spans="1:24" ht="30" customHeight="1" x14ac:dyDescent="0.3">
      <c r="A51" s="14">
        <f t="shared" si="0"/>
        <v>48</v>
      </c>
      <c r="B51" s="15" t="s">
        <v>172</v>
      </c>
      <c r="C51" s="15" t="s">
        <v>824</v>
      </c>
      <c r="D51" s="15" t="s">
        <v>825</v>
      </c>
      <c r="E51" s="19" t="s">
        <v>826</v>
      </c>
      <c r="F51" s="15" t="s">
        <v>610</v>
      </c>
      <c r="G51" s="15" t="s">
        <v>640</v>
      </c>
      <c r="H51" s="14" t="s">
        <v>171</v>
      </c>
      <c r="I51" s="14" t="s">
        <v>29</v>
      </c>
      <c r="J51" s="14" t="s">
        <v>31</v>
      </c>
      <c r="K51" s="14" t="s">
        <v>163</v>
      </c>
      <c r="L51" s="14" t="s">
        <v>163</v>
      </c>
      <c r="M51" s="14" t="s">
        <v>32</v>
      </c>
      <c r="N51" s="14"/>
      <c r="O51" s="14"/>
      <c r="P51" s="14"/>
      <c r="Q51" s="14"/>
      <c r="R51" s="14"/>
      <c r="S51" s="14"/>
      <c r="T51" s="14"/>
      <c r="U51" s="5"/>
      <c r="V51" s="5"/>
      <c r="W51" s="14"/>
      <c r="X51" s="5"/>
    </row>
    <row r="52" spans="1:24" ht="30" customHeight="1" x14ac:dyDescent="0.3">
      <c r="A52" s="14">
        <f t="shared" si="0"/>
        <v>49</v>
      </c>
      <c r="B52" s="15" t="s">
        <v>172</v>
      </c>
      <c r="C52" s="15" t="s">
        <v>827</v>
      </c>
      <c r="D52" s="15" t="s">
        <v>828</v>
      </c>
      <c r="E52" s="19" t="s">
        <v>739</v>
      </c>
      <c r="F52" s="15" t="s">
        <v>610</v>
      </c>
      <c r="G52" s="15" t="s">
        <v>640</v>
      </c>
      <c r="H52" s="14" t="s">
        <v>171</v>
      </c>
      <c r="I52" s="14" t="s">
        <v>29</v>
      </c>
      <c r="J52" s="14" t="s">
        <v>31</v>
      </c>
      <c r="K52" s="14" t="s">
        <v>163</v>
      </c>
      <c r="L52" s="14" t="s">
        <v>166</v>
      </c>
      <c r="M52" s="14" t="s">
        <v>743</v>
      </c>
      <c r="N52" s="14"/>
      <c r="O52" s="14"/>
      <c r="P52" s="14"/>
      <c r="Q52" s="14"/>
      <c r="R52" s="14"/>
      <c r="S52" s="14"/>
      <c r="T52" s="14"/>
      <c r="U52" s="5"/>
      <c r="V52" s="5"/>
      <c r="W52" s="14"/>
      <c r="X52" s="5"/>
    </row>
    <row r="53" spans="1:24" s="73" customFormat="1" ht="30" customHeight="1" x14ac:dyDescent="0.3">
      <c r="A53" s="71">
        <f t="shared" si="0"/>
        <v>50</v>
      </c>
      <c r="B53" s="71">
        <v>0</v>
      </c>
      <c r="C53" s="71" t="s">
        <v>1328</v>
      </c>
      <c r="D53" s="71" t="s">
        <v>1327</v>
      </c>
      <c r="E53" s="72" t="s">
        <v>1050</v>
      </c>
      <c r="F53" s="71" t="s">
        <v>1329</v>
      </c>
      <c r="G53" s="71" t="s">
        <v>1326</v>
      </c>
      <c r="H53" s="71" t="s">
        <v>171</v>
      </c>
      <c r="I53" s="71" t="s">
        <v>29</v>
      </c>
      <c r="J53" s="71" t="s">
        <v>31</v>
      </c>
      <c r="K53" s="75" t="s">
        <v>245</v>
      </c>
      <c r="L53" s="71" t="s">
        <v>1247</v>
      </c>
      <c r="M53" s="71" t="s">
        <v>1248</v>
      </c>
      <c r="N53" s="71"/>
      <c r="O53" s="71"/>
      <c r="P53" s="71"/>
      <c r="Q53" s="71"/>
      <c r="R53" s="71"/>
      <c r="S53" s="71"/>
      <c r="T53" s="71"/>
      <c r="U53" s="72"/>
      <c r="V53" s="72"/>
      <c r="W53" s="71"/>
      <c r="X53" s="72"/>
    </row>
    <row r="54" spans="1:24" ht="30" customHeight="1" x14ac:dyDescent="0.3">
      <c r="A54" s="14">
        <f t="shared" si="0"/>
        <v>51</v>
      </c>
      <c r="B54" s="15" t="s">
        <v>172</v>
      </c>
      <c r="C54" s="15" t="s">
        <v>829</v>
      </c>
      <c r="D54" s="15" t="s">
        <v>610</v>
      </c>
      <c r="E54" s="19" t="s">
        <v>830</v>
      </c>
      <c r="F54" s="15" t="s">
        <v>610</v>
      </c>
      <c r="G54" s="15" t="s">
        <v>640</v>
      </c>
      <c r="H54" s="14" t="s">
        <v>171</v>
      </c>
      <c r="I54" s="14" t="s">
        <v>24</v>
      </c>
      <c r="J54" s="14" t="s">
        <v>31</v>
      </c>
      <c r="K54" s="14" t="s">
        <v>163</v>
      </c>
      <c r="L54" s="14" t="s">
        <v>163</v>
      </c>
      <c r="M54" s="14" t="s">
        <v>32</v>
      </c>
      <c r="N54" s="14"/>
      <c r="O54" s="14"/>
      <c r="P54" s="14"/>
      <c r="Q54" s="14"/>
      <c r="R54" s="14"/>
      <c r="S54" s="14"/>
      <c r="T54" s="14"/>
      <c r="U54" s="5"/>
      <c r="V54" s="5"/>
      <c r="W54" s="14"/>
      <c r="X54" s="5"/>
    </row>
    <row r="55" spans="1:24" ht="30" customHeight="1" x14ac:dyDescent="0.3">
      <c r="A55" s="14">
        <f t="shared" si="0"/>
        <v>52</v>
      </c>
      <c r="B55" s="15" t="s">
        <v>172</v>
      </c>
      <c r="C55" s="15" t="s">
        <v>831</v>
      </c>
      <c r="D55" s="15" t="s">
        <v>610</v>
      </c>
      <c r="E55" s="19" t="s">
        <v>832</v>
      </c>
      <c r="F55" s="15" t="s">
        <v>610</v>
      </c>
      <c r="G55" s="15" t="s">
        <v>640</v>
      </c>
      <c r="H55" s="14" t="s">
        <v>171</v>
      </c>
      <c r="I55" s="14" t="s">
        <v>24</v>
      </c>
      <c r="J55" s="14" t="s">
        <v>31</v>
      </c>
      <c r="K55" s="14" t="s">
        <v>163</v>
      </c>
      <c r="L55" s="14" t="s">
        <v>163</v>
      </c>
      <c r="M55" s="14" t="s">
        <v>33</v>
      </c>
      <c r="N55" s="14"/>
      <c r="O55" s="14"/>
      <c r="P55" s="14"/>
      <c r="Q55" s="14"/>
      <c r="R55" s="14"/>
      <c r="S55" s="14"/>
      <c r="T55" s="14"/>
      <c r="U55" s="5"/>
      <c r="V55" s="5"/>
      <c r="W55" s="14"/>
      <c r="X55" s="5"/>
    </row>
    <row r="56" spans="1:24" ht="30" customHeight="1" x14ac:dyDescent="0.3">
      <c r="A56" s="14">
        <f t="shared" si="0"/>
        <v>53</v>
      </c>
      <c r="B56" s="15" t="s">
        <v>172</v>
      </c>
      <c r="C56" s="15" t="s">
        <v>833</v>
      </c>
      <c r="D56" s="15" t="s">
        <v>834</v>
      </c>
      <c r="E56" s="19" t="s">
        <v>835</v>
      </c>
      <c r="F56" s="15" t="s">
        <v>611</v>
      </c>
      <c r="G56" s="15" t="s">
        <v>640</v>
      </c>
      <c r="H56" s="14" t="s">
        <v>171</v>
      </c>
      <c r="I56" s="14" t="s">
        <v>29</v>
      </c>
      <c r="J56" s="14" t="s">
        <v>31</v>
      </c>
      <c r="K56" s="14" t="s">
        <v>163</v>
      </c>
      <c r="L56" s="14" t="s">
        <v>163</v>
      </c>
      <c r="M56" s="14" t="s">
        <v>742</v>
      </c>
      <c r="N56" s="14"/>
      <c r="O56" s="14"/>
      <c r="P56" s="14"/>
      <c r="Q56" s="14"/>
      <c r="R56" s="14"/>
      <c r="S56" s="14"/>
      <c r="T56" s="14"/>
      <c r="U56" s="5"/>
      <c r="V56" s="5"/>
      <c r="W56" s="14"/>
      <c r="X56" s="5"/>
    </row>
    <row r="57" spans="1:24" ht="30" customHeight="1" x14ac:dyDescent="0.3">
      <c r="A57" s="14">
        <f t="shared" si="0"/>
        <v>54</v>
      </c>
      <c r="B57" s="15" t="s">
        <v>172</v>
      </c>
      <c r="C57" s="15" t="s">
        <v>836</v>
      </c>
      <c r="D57" s="15" t="s">
        <v>837</v>
      </c>
      <c r="E57" s="19" t="s">
        <v>838</v>
      </c>
      <c r="F57" s="15" t="s">
        <v>611</v>
      </c>
      <c r="G57" s="15" t="s">
        <v>640</v>
      </c>
      <c r="H57" s="14" t="s">
        <v>171</v>
      </c>
      <c r="I57" s="14" t="s">
        <v>29</v>
      </c>
      <c r="J57" s="14" t="s">
        <v>31</v>
      </c>
      <c r="K57" s="14" t="s">
        <v>163</v>
      </c>
      <c r="L57" s="14" t="s">
        <v>163</v>
      </c>
      <c r="M57" s="14" t="s">
        <v>32</v>
      </c>
      <c r="N57" s="14"/>
      <c r="O57" s="14"/>
      <c r="P57" s="14"/>
      <c r="Q57" s="14"/>
      <c r="R57" s="14"/>
      <c r="S57" s="14"/>
      <c r="T57" s="14"/>
      <c r="U57" s="5"/>
      <c r="V57" s="5"/>
      <c r="W57" s="14"/>
      <c r="X57" s="5"/>
    </row>
    <row r="58" spans="1:24" ht="30" customHeight="1" x14ac:dyDescent="0.3">
      <c r="A58" s="14">
        <f t="shared" si="0"/>
        <v>55</v>
      </c>
      <c r="B58" s="15" t="s">
        <v>172</v>
      </c>
      <c r="C58" s="15" t="s">
        <v>839</v>
      </c>
      <c r="D58" s="15" t="s">
        <v>840</v>
      </c>
      <c r="E58" s="19" t="s">
        <v>739</v>
      </c>
      <c r="F58" s="15" t="s">
        <v>611</v>
      </c>
      <c r="G58" s="15" t="s">
        <v>640</v>
      </c>
      <c r="H58" s="14" t="s">
        <v>171</v>
      </c>
      <c r="I58" s="14" t="s">
        <v>29</v>
      </c>
      <c r="J58" s="14" t="s">
        <v>31</v>
      </c>
      <c r="K58" s="14" t="s">
        <v>163</v>
      </c>
      <c r="L58" s="14" t="s">
        <v>166</v>
      </c>
      <c r="M58" s="14" t="s">
        <v>743</v>
      </c>
      <c r="N58" s="14"/>
      <c r="O58" s="14"/>
      <c r="P58" s="14"/>
      <c r="Q58" s="14"/>
      <c r="R58" s="14"/>
      <c r="S58" s="14"/>
      <c r="T58" s="14"/>
      <c r="U58" s="5"/>
      <c r="V58" s="5"/>
      <c r="W58" s="14"/>
      <c r="X58" s="5"/>
    </row>
    <row r="59" spans="1:24" s="73" customFormat="1" ht="30" customHeight="1" x14ac:dyDescent="0.3">
      <c r="A59" s="71">
        <f t="shared" si="0"/>
        <v>56</v>
      </c>
      <c r="B59" s="71">
        <v>0</v>
      </c>
      <c r="C59" s="71" t="s">
        <v>1330</v>
      </c>
      <c r="D59" s="71" t="s">
        <v>1331</v>
      </c>
      <c r="E59" s="72" t="s">
        <v>1050</v>
      </c>
      <c r="F59" s="71" t="s">
        <v>1332</v>
      </c>
      <c r="G59" s="71" t="s">
        <v>1326</v>
      </c>
      <c r="H59" s="71" t="s">
        <v>171</v>
      </c>
      <c r="I59" s="71" t="s">
        <v>29</v>
      </c>
      <c r="J59" s="71" t="s">
        <v>31</v>
      </c>
      <c r="K59" s="75" t="s">
        <v>245</v>
      </c>
      <c r="L59" s="71" t="s">
        <v>1247</v>
      </c>
      <c r="M59" s="71" t="s">
        <v>1248</v>
      </c>
      <c r="N59" s="71"/>
      <c r="O59" s="71"/>
      <c r="P59" s="71"/>
      <c r="Q59" s="71"/>
      <c r="R59" s="71"/>
      <c r="S59" s="71"/>
      <c r="T59" s="71"/>
      <c r="U59" s="72"/>
      <c r="V59" s="72"/>
      <c r="W59" s="71"/>
      <c r="X59" s="72"/>
    </row>
    <row r="60" spans="1:24" ht="30" customHeight="1" x14ac:dyDescent="0.3">
      <c r="A60" s="14">
        <f t="shared" si="0"/>
        <v>57</v>
      </c>
      <c r="B60" s="15" t="s">
        <v>172</v>
      </c>
      <c r="C60" s="15" t="s">
        <v>841</v>
      </c>
      <c r="D60" s="15" t="s">
        <v>611</v>
      </c>
      <c r="E60" s="19" t="s">
        <v>842</v>
      </c>
      <c r="F60" s="15" t="s">
        <v>611</v>
      </c>
      <c r="G60" s="15" t="s">
        <v>640</v>
      </c>
      <c r="H60" s="14" t="s">
        <v>171</v>
      </c>
      <c r="I60" s="14" t="s">
        <v>24</v>
      </c>
      <c r="J60" s="14" t="s">
        <v>31</v>
      </c>
      <c r="K60" s="14" t="s">
        <v>163</v>
      </c>
      <c r="L60" s="14" t="s">
        <v>163</v>
      </c>
      <c r="M60" s="14" t="s">
        <v>32</v>
      </c>
      <c r="N60" s="14"/>
      <c r="O60" s="14"/>
      <c r="P60" s="14"/>
      <c r="Q60" s="14"/>
      <c r="R60" s="14"/>
      <c r="S60" s="14"/>
      <c r="T60" s="14"/>
      <c r="U60" s="5"/>
      <c r="V60" s="5"/>
      <c r="W60" s="14"/>
      <c r="X60" s="5"/>
    </row>
    <row r="61" spans="1:24" ht="30" customHeight="1" x14ac:dyDescent="0.3">
      <c r="A61" s="14">
        <f t="shared" si="0"/>
        <v>58</v>
      </c>
      <c r="B61" s="15" t="s">
        <v>172</v>
      </c>
      <c r="C61" s="15" t="s">
        <v>843</v>
      </c>
      <c r="D61" s="15" t="s">
        <v>611</v>
      </c>
      <c r="E61" s="19" t="s">
        <v>844</v>
      </c>
      <c r="F61" s="15" t="s">
        <v>611</v>
      </c>
      <c r="G61" s="15" t="s">
        <v>640</v>
      </c>
      <c r="H61" s="14" t="s">
        <v>171</v>
      </c>
      <c r="I61" s="14" t="s">
        <v>24</v>
      </c>
      <c r="J61" s="14" t="s">
        <v>31</v>
      </c>
      <c r="K61" s="14" t="s">
        <v>163</v>
      </c>
      <c r="L61" s="14" t="s">
        <v>163</v>
      </c>
      <c r="M61" s="14" t="s">
        <v>33</v>
      </c>
      <c r="N61" s="14"/>
      <c r="O61" s="14"/>
      <c r="P61" s="14"/>
      <c r="Q61" s="14"/>
      <c r="R61" s="14"/>
      <c r="S61" s="14"/>
      <c r="T61" s="14"/>
      <c r="U61" s="5"/>
      <c r="V61" s="5"/>
      <c r="W61" s="14"/>
      <c r="X61" s="5"/>
    </row>
    <row r="62" spans="1:24" ht="30" customHeight="1" x14ac:dyDescent="0.3">
      <c r="A62" s="14">
        <f t="shared" si="0"/>
        <v>59</v>
      </c>
      <c r="B62" s="15" t="s">
        <v>172</v>
      </c>
      <c r="C62" s="15" t="s">
        <v>845</v>
      </c>
      <c r="D62" s="15" t="s">
        <v>846</v>
      </c>
      <c r="E62" s="19" t="s">
        <v>847</v>
      </c>
      <c r="F62" s="15" t="s">
        <v>612</v>
      </c>
      <c r="G62" s="15" t="s">
        <v>640</v>
      </c>
      <c r="H62" s="14" t="s">
        <v>171</v>
      </c>
      <c r="I62" s="14" t="s">
        <v>29</v>
      </c>
      <c r="J62" s="14" t="s">
        <v>31</v>
      </c>
      <c r="K62" s="14" t="s">
        <v>163</v>
      </c>
      <c r="L62" s="14" t="s">
        <v>163</v>
      </c>
      <c r="M62" s="14" t="s">
        <v>742</v>
      </c>
      <c r="N62" s="14"/>
      <c r="O62" s="14"/>
      <c r="P62" s="14"/>
      <c r="Q62" s="14"/>
      <c r="R62" s="14"/>
      <c r="S62" s="14"/>
      <c r="T62" s="14"/>
      <c r="U62" s="5"/>
      <c r="V62" s="5"/>
      <c r="W62" s="14"/>
      <c r="X62" s="5"/>
    </row>
    <row r="63" spans="1:24" ht="30" customHeight="1" x14ac:dyDescent="0.3">
      <c r="A63" s="14">
        <f t="shared" si="0"/>
        <v>60</v>
      </c>
      <c r="B63" s="15" t="s">
        <v>172</v>
      </c>
      <c r="C63" s="15" t="s">
        <v>848</v>
      </c>
      <c r="D63" s="15" t="s">
        <v>849</v>
      </c>
      <c r="E63" s="19" t="s">
        <v>850</v>
      </c>
      <c r="F63" s="15" t="s">
        <v>612</v>
      </c>
      <c r="G63" s="15" t="s">
        <v>640</v>
      </c>
      <c r="H63" s="14" t="s">
        <v>171</v>
      </c>
      <c r="I63" s="14" t="s">
        <v>29</v>
      </c>
      <c r="J63" s="14" t="s">
        <v>31</v>
      </c>
      <c r="K63" s="14" t="s">
        <v>163</v>
      </c>
      <c r="L63" s="14" t="s">
        <v>163</v>
      </c>
      <c r="M63" s="14" t="s">
        <v>32</v>
      </c>
      <c r="N63" s="14"/>
      <c r="O63" s="14"/>
      <c r="P63" s="14"/>
      <c r="Q63" s="14"/>
      <c r="R63" s="14"/>
      <c r="S63" s="14"/>
      <c r="T63" s="14"/>
      <c r="U63" s="5"/>
      <c r="V63" s="5"/>
      <c r="W63" s="14"/>
      <c r="X63" s="5"/>
    </row>
    <row r="64" spans="1:24" ht="30" customHeight="1" x14ac:dyDescent="0.3">
      <c r="A64" s="14">
        <f t="shared" si="0"/>
        <v>61</v>
      </c>
      <c r="B64" s="15" t="s">
        <v>172</v>
      </c>
      <c r="C64" s="15" t="s">
        <v>851</v>
      </c>
      <c r="D64" s="15" t="s">
        <v>852</v>
      </c>
      <c r="E64" s="19" t="s">
        <v>739</v>
      </c>
      <c r="F64" s="15" t="s">
        <v>612</v>
      </c>
      <c r="G64" s="15" t="s">
        <v>640</v>
      </c>
      <c r="H64" s="14" t="s">
        <v>171</v>
      </c>
      <c r="I64" s="14" t="s">
        <v>29</v>
      </c>
      <c r="J64" s="14" t="s">
        <v>31</v>
      </c>
      <c r="K64" s="14" t="s">
        <v>163</v>
      </c>
      <c r="L64" s="14" t="s">
        <v>166</v>
      </c>
      <c r="M64" s="14" t="s">
        <v>743</v>
      </c>
      <c r="N64" s="14"/>
      <c r="O64" s="14"/>
      <c r="P64" s="14"/>
      <c r="Q64" s="14"/>
      <c r="R64" s="14"/>
      <c r="S64" s="14"/>
      <c r="T64" s="14"/>
      <c r="U64" s="5"/>
      <c r="V64" s="5"/>
      <c r="W64" s="14"/>
      <c r="X64" s="5"/>
    </row>
    <row r="65" spans="1:24" s="73" customFormat="1" ht="30" customHeight="1" x14ac:dyDescent="0.3">
      <c r="A65" s="71">
        <f t="shared" si="0"/>
        <v>62</v>
      </c>
      <c r="B65" s="71">
        <v>0</v>
      </c>
      <c r="C65" s="71" t="s">
        <v>1333</v>
      </c>
      <c r="D65" s="71" t="s">
        <v>1334</v>
      </c>
      <c r="E65" s="72" t="s">
        <v>1050</v>
      </c>
      <c r="F65" s="71" t="s">
        <v>1335</v>
      </c>
      <c r="G65" s="71" t="s">
        <v>1326</v>
      </c>
      <c r="H65" s="71" t="s">
        <v>171</v>
      </c>
      <c r="I65" s="71" t="s">
        <v>29</v>
      </c>
      <c r="J65" s="71" t="s">
        <v>31</v>
      </c>
      <c r="K65" s="75" t="s">
        <v>245</v>
      </c>
      <c r="L65" s="71" t="s">
        <v>1247</v>
      </c>
      <c r="M65" s="71" t="s">
        <v>1248</v>
      </c>
      <c r="N65" s="71"/>
      <c r="O65" s="71"/>
      <c r="P65" s="71"/>
      <c r="Q65" s="71"/>
      <c r="R65" s="71"/>
      <c r="S65" s="71"/>
      <c r="T65" s="71"/>
      <c r="U65" s="72"/>
      <c r="V65" s="72"/>
      <c r="W65" s="71"/>
      <c r="X65" s="72"/>
    </row>
    <row r="66" spans="1:24" ht="30" customHeight="1" x14ac:dyDescent="0.3">
      <c r="A66" s="14">
        <f t="shared" si="0"/>
        <v>63</v>
      </c>
      <c r="B66" s="15" t="s">
        <v>172</v>
      </c>
      <c r="C66" s="15" t="s">
        <v>853</v>
      </c>
      <c r="D66" s="15" t="s">
        <v>612</v>
      </c>
      <c r="E66" s="19" t="s">
        <v>854</v>
      </c>
      <c r="F66" s="15" t="s">
        <v>612</v>
      </c>
      <c r="G66" s="15" t="s">
        <v>640</v>
      </c>
      <c r="H66" s="14" t="s">
        <v>171</v>
      </c>
      <c r="I66" s="14" t="s">
        <v>24</v>
      </c>
      <c r="J66" s="14" t="s">
        <v>31</v>
      </c>
      <c r="K66" s="14" t="s">
        <v>163</v>
      </c>
      <c r="L66" s="14" t="s">
        <v>163</v>
      </c>
      <c r="M66" s="14" t="s">
        <v>32</v>
      </c>
      <c r="N66" s="14"/>
      <c r="O66" s="14"/>
      <c r="P66" s="14"/>
      <c r="Q66" s="14"/>
      <c r="R66" s="14"/>
      <c r="S66" s="14"/>
      <c r="T66" s="14"/>
      <c r="U66" s="5"/>
      <c r="V66" s="5"/>
      <c r="W66" s="14"/>
      <c r="X66" s="5"/>
    </row>
    <row r="67" spans="1:24" ht="30" customHeight="1" x14ac:dyDescent="0.3">
      <c r="A67" s="14">
        <f t="shared" si="0"/>
        <v>64</v>
      </c>
      <c r="B67" s="15" t="s">
        <v>172</v>
      </c>
      <c r="C67" s="15" t="s">
        <v>855</v>
      </c>
      <c r="D67" s="15" t="s">
        <v>612</v>
      </c>
      <c r="E67" s="19" t="s">
        <v>856</v>
      </c>
      <c r="F67" s="15" t="s">
        <v>612</v>
      </c>
      <c r="G67" s="15" t="s">
        <v>640</v>
      </c>
      <c r="H67" s="14" t="s">
        <v>171</v>
      </c>
      <c r="I67" s="14" t="s">
        <v>24</v>
      </c>
      <c r="J67" s="14" t="s">
        <v>31</v>
      </c>
      <c r="K67" s="14" t="s">
        <v>163</v>
      </c>
      <c r="L67" s="14" t="s">
        <v>163</v>
      </c>
      <c r="M67" s="14" t="s">
        <v>33</v>
      </c>
      <c r="N67" s="14"/>
      <c r="O67" s="14"/>
      <c r="P67" s="14"/>
      <c r="Q67" s="14"/>
      <c r="R67" s="14"/>
      <c r="S67" s="14"/>
      <c r="T67" s="14"/>
      <c r="U67" s="5"/>
      <c r="V67" s="5"/>
      <c r="W67" s="14"/>
      <c r="X67" s="5"/>
    </row>
    <row r="68" spans="1:24" ht="30" customHeight="1" x14ac:dyDescent="0.3">
      <c r="A68" s="14">
        <f t="shared" si="0"/>
        <v>65</v>
      </c>
      <c r="B68" s="15" t="s">
        <v>172</v>
      </c>
      <c r="C68" s="15" t="s">
        <v>857</v>
      </c>
      <c r="D68" s="15" t="s">
        <v>858</v>
      </c>
      <c r="E68" s="19" t="s">
        <v>859</v>
      </c>
      <c r="F68" s="15" t="s">
        <v>613</v>
      </c>
      <c r="G68" s="15" t="s">
        <v>645</v>
      </c>
      <c r="H68" s="14" t="s">
        <v>171</v>
      </c>
      <c r="I68" s="14" t="s">
        <v>29</v>
      </c>
      <c r="J68" s="14" t="s">
        <v>31</v>
      </c>
      <c r="K68" s="14" t="s">
        <v>163</v>
      </c>
      <c r="L68" s="14" t="s">
        <v>163</v>
      </c>
      <c r="M68" s="14" t="s">
        <v>742</v>
      </c>
      <c r="N68" s="14"/>
      <c r="O68" s="14"/>
      <c r="P68" s="14"/>
      <c r="Q68" s="14"/>
      <c r="R68" s="14"/>
      <c r="S68" s="14"/>
      <c r="T68" s="14"/>
      <c r="U68" s="5"/>
      <c r="V68" s="5"/>
      <c r="W68" s="14"/>
      <c r="X68" s="5"/>
    </row>
    <row r="69" spans="1:24" ht="30" customHeight="1" x14ac:dyDescent="0.3">
      <c r="A69" s="14">
        <f t="shared" si="0"/>
        <v>66</v>
      </c>
      <c r="B69" s="15" t="s">
        <v>172</v>
      </c>
      <c r="C69" s="15" t="s">
        <v>860</v>
      </c>
      <c r="D69" s="15" t="s">
        <v>861</v>
      </c>
      <c r="E69" s="19" t="s">
        <v>862</v>
      </c>
      <c r="F69" s="15" t="s">
        <v>613</v>
      </c>
      <c r="G69" s="15" t="s">
        <v>645</v>
      </c>
      <c r="H69" s="14" t="s">
        <v>171</v>
      </c>
      <c r="I69" s="14" t="s">
        <v>29</v>
      </c>
      <c r="J69" s="14" t="s">
        <v>31</v>
      </c>
      <c r="K69" s="14" t="s">
        <v>163</v>
      </c>
      <c r="L69" s="14" t="s">
        <v>163</v>
      </c>
      <c r="M69" s="14" t="s">
        <v>32</v>
      </c>
      <c r="N69" s="14"/>
      <c r="O69" s="14"/>
      <c r="P69" s="14"/>
      <c r="Q69" s="14"/>
      <c r="R69" s="14"/>
      <c r="S69" s="14"/>
      <c r="T69" s="14"/>
      <c r="U69" s="5"/>
      <c r="V69" s="5"/>
      <c r="W69" s="14"/>
      <c r="X69" s="5"/>
    </row>
    <row r="70" spans="1:24" ht="30" customHeight="1" x14ac:dyDescent="0.3">
      <c r="A70" s="14">
        <f t="shared" si="0"/>
        <v>67</v>
      </c>
      <c r="B70" s="15" t="s">
        <v>172</v>
      </c>
      <c r="C70" s="15" t="s">
        <v>863</v>
      </c>
      <c r="D70" s="15" t="s">
        <v>864</v>
      </c>
      <c r="E70" s="19" t="s">
        <v>739</v>
      </c>
      <c r="F70" s="15" t="s">
        <v>613</v>
      </c>
      <c r="G70" s="15" t="s">
        <v>645</v>
      </c>
      <c r="H70" s="14" t="s">
        <v>171</v>
      </c>
      <c r="I70" s="14" t="s">
        <v>29</v>
      </c>
      <c r="J70" s="14" t="s">
        <v>31</v>
      </c>
      <c r="K70" s="14" t="s">
        <v>163</v>
      </c>
      <c r="L70" s="14" t="s">
        <v>166</v>
      </c>
      <c r="M70" s="14" t="s">
        <v>743</v>
      </c>
      <c r="N70" s="14"/>
      <c r="O70" s="14"/>
      <c r="P70" s="14"/>
      <c r="Q70" s="14"/>
      <c r="R70" s="14"/>
      <c r="S70" s="14"/>
      <c r="T70" s="14"/>
      <c r="U70" s="5"/>
      <c r="V70" s="5"/>
      <c r="W70" s="14"/>
      <c r="X70" s="5"/>
    </row>
    <row r="71" spans="1:24" s="73" customFormat="1" ht="30" customHeight="1" x14ac:dyDescent="0.3">
      <c r="A71" s="71">
        <f t="shared" si="0"/>
        <v>68</v>
      </c>
      <c r="B71" s="71">
        <v>0</v>
      </c>
      <c r="C71" s="71" t="s">
        <v>1336</v>
      </c>
      <c r="D71" s="71" t="s">
        <v>1337</v>
      </c>
      <c r="E71" s="72" t="s">
        <v>1050</v>
      </c>
      <c r="F71" s="71" t="s">
        <v>1338</v>
      </c>
      <c r="G71" s="71" t="s">
        <v>1339</v>
      </c>
      <c r="H71" s="71" t="s">
        <v>171</v>
      </c>
      <c r="I71" s="71" t="s">
        <v>29</v>
      </c>
      <c r="J71" s="71" t="s">
        <v>31</v>
      </c>
      <c r="K71" s="75" t="s">
        <v>245</v>
      </c>
      <c r="L71" s="71" t="s">
        <v>1247</v>
      </c>
      <c r="M71" s="71" t="s">
        <v>1248</v>
      </c>
      <c r="N71" s="71"/>
      <c r="O71" s="71"/>
      <c r="P71" s="71"/>
      <c r="Q71" s="71"/>
      <c r="R71" s="71"/>
      <c r="S71" s="71"/>
      <c r="T71" s="71"/>
      <c r="U71" s="72"/>
      <c r="V71" s="72"/>
      <c r="W71" s="71"/>
      <c r="X71" s="72"/>
    </row>
    <row r="72" spans="1:24" ht="30" customHeight="1" x14ac:dyDescent="0.3">
      <c r="A72" s="14">
        <f t="shared" si="0"/>
        <v>69</v>
      </c>
      <c r="B72" s="15" t="s">
        <v>172</v>
      </c>
      <c r="C72" s="15" t="s">
        <v>865</v>
      </c>
      <c r="D72" s="15" t="s">
        <v>613</v>
      </c>
      <c r="E72" s="19" t="s">
        <v>866</v>
      </c>
      <c r="F72" s="15" t="s">
        <v>613</v>
      </c>
      <c r="G72" s="15" t="s">
        <v>645</v>
      </c>
      <c r="H72" s="14" t="s">
        <v>171</v>
      </c>
      <c r="I72" s="14" t="s">
        <v>24</v>
      </c>
      <c r="J72" s="14" t="s">
        <v>31</v>
      </c>
      <c r="K72" s="14" t="s">
        <v>163</v>
      </c>
      <c r="L72" s="14" t="s">
        <v>163</v>
      </c>
      <c r="M72" s="14" t="s">
        <v>32</v>
      </c>
      <c r="N72" s="14"/>
      <c r="O72" s="14"/>
      <c r="P72" s="14"/>
      <c r="Q72" s="14"/>
      <c r="R72" s="14"/>
      <c r="S72" s="14"/>
      <c r="T72" s="14"/>
      <c r="U72" s="5"/>
      <c r="V72" s="5"/>
      <c r="W72" s="14"/>
      <c r="X72" s="5"/>
    </row>
    <row r="73" spans="1:24" ht="30" customHeight="1" x14ac:dyDescent="0.3">
      <c r="A73" s="14">
        <f t="shared" si="0"/>
        <v>70</v>
      </c>
      <c r="B73" s="15" t="s">
        <v>172</v>
      </c>
      <c r="C73" s="15" t="s">
        <v>867</v>
      </c>
      <c r="D73" s="15" t="s">
        <v>613</v>
      </c>
      <c r="E73" s="19" t="s">
        <v>868</v>
      </c>
      <c r="F73" s="15" t="s">
        <v>613</v>
      </c>
      <c r="G73" s="15" t="s">
        <v>645</v>
      </c>
      <c r="H73" s="14" t="s">
        <v>171</v>
      </c>
      <c r="I73" s="14" t="s">
        <v>24</v>
      </c>
      <c r="J73" s="14" t="s">
        <v>31</v>
      </c>
      <c r="K73" s="14" t="s">
        <v>163</v>
      </c>
      <c r="L73" s="14" t="s">
        <v>163</v>
      </c>
      <c r="M73" s="14" t="s">
        <v>33</v>
      </c>
      <c r="N73" s="14"/>
      <c r="O73" s="14"/>
      <c r="P73" s="14"/>
      <c r="Q73" s="14"/>
      <c r="R73" s="14"/>
      <c r="S73" s="14"/>
      <c r="T73" s="14"/>
      <c r="U73" s="5"/>
      <c r="V73" s="5"/>
      <c r="W73" s="14"/>
      <c r="X73" s="5"/>
    </row>
    <row r="74" spans="1:24" ht="30" customHeight="1" x14ac:dyDescent="0.3">
      <c r="A74" s="14">
        <f t="shared" si="0"/>
        <v>71</v>
      </c>
      <c r="B74" s="15" t="s">
        <v>172</v>
      </c>
      <c r="C74" s="15" t="s">
        <v>869</v>
      </c>
      <c r="D74" s="15" t="s">
        <v>870</v>
      </c>
      <c r="E74" s="19" t="s">
        <v>871</v>
      </c>
      <c r="F74" s="15" t="s">
        <v>614</v>
      </c>
      <c r="G74" s="15" t="s">
        <v>645</v>
      </c>
      <c r="H74" s="14" t="s">
        <v>171</v>
      </c>
      <c r="I74" s="14" t="s">
        <v>29</v>
      </c>
      <c r="J74" s="14" t="s">
        <v>31</v>
      </c>
      <c r="K74" s="14" t="s">
        <v>163</v>
      </c>
      <c r="L74" s="14" t="s">
        <v>163</v>
      </c>
      <c r="M74" s="14" t="s">
        <v>742</v>
      </c>
      <c r="N74" s="14"/>
      <c r="O74" s="14"/>
      <c r="P74" s="14"/>
      <c r="Q74" s="14"/>
      <c r="R74" s="14"/>
      <c r="S74" s="14"/>
      <c r="T74" s="14"/>
      <c r="U74" s="5"/>
      <c r="V74" s="5"/>
      <c r="W74" s="14"/>
      <c r="X74" s="5"/>
    </row>
    <row r="75" spans="1:24" ht="30" customHeight="1" x14ac:dyDescent="0.3">
      <c r="A75" s="14">
        <f t="shared" si="0"/>
        <v>72</v>
      </c>
      <c r="B75" s="15" t="s">
        <v>172</v>
      </c>
      <c r="C75" s="15" t="s">
        <v>872</v>
      </c>
      <c r="D75" s="15" t="s">
        <v>873</v>
      </c>
      <c r="E75" s="19" t="s">
        <v>874</v>
      </c>
      <c r="F75" s="15" t="s">
        <v>614</v>
      </c>
      <c r="G75" s="15" t="s">
        <v>645</v>
      </c>
      <c r="H75" s="14" t="s">
        <v>171</v>
      </c>
      <c r="I75" s="14" t="s">
        <v>29</v>
      </c>
      <c r="J75" s="14" t="s">
        <v>31</v>
      </c>
      <c r="K75" s="14" t="s">
        <v>163</v>
      </c>
      <c r="L75" s="14" t="s">
        <v>163</v>
      </c>
      <c r="M75" s="14" t="s">
        <v>32</v>
      </c>
      <c r="N75" s="14"/>
      <c r="O75" s="14"/>
      <c r="P75" s="14"/>
      <c r="Q75" s="14"/>
      <c r="R75" s="14"/>
      <c r="S75" s="14"/>
      <c r="T75" s="14"/>
      <c r="U75" s="5"/>
      <c r="V75" s="5"/>
      <c r="W75" s="14"/>
      <c r="X75" s="5"/>
    </row>
    <row r="76" spans="1:24" ht="30" customHeight="1" x14ac:dyDescent="0.3">
      <c r="A76" s="14">
        <f t="shared" si="0"/>
        <v>73</v>
      </c>
      <c r="B76" s="15" t="s">
        <v>172</v>
      </c>
      <c r="C76" s="15" t="s">
        <v>875</v>
      </c>
      <c r="D76" s="15" t="s">
        <v>876</v>
      </c>
      <c r="E76" s="19" t="s">
        <v>739</v>
      </c>
      <c r="F76" s="15" t="s">
        <v>614</v>
      </c>
      <c r="G76" s="15" t="s">
        <v>645</v>
      </c>
      <c r="H76" s="14" t="s">
        <v>171</v>
      </c>
      <c r="I76" s="14" t="s">
        <v>29</v>
      </c>
      <c r="J76" s="14" t="s">
        <v>31</v>
      </c>
      <c r="K76" s="14" t="s">
        <v>163</v>
      </c>
      <c r="L76" s="14" t="s">
        <v>166</v>
      </c>
      <c r="M76" s="14" t="s">
        <v>743</v>
      </c>
      <c r="N76" s="14"/>
      <c r="O76" s="14"/>
      <c r="P76" s="14"/>
      <c r="Q76" s="14"/>
      <c r="R76" s="14"/>
      <c r="S76" s="14"/>
      <c r="T76" s="14"/>
      <c r="U76" s="5"/>
      <c r="V76" s="5"/>
      <c r="W76" s="14"/>
      <c r="X76" s="5"/>
    </row>
    <row r="77" spans="1:24" s="73" customFormat="1" ht="30" customHeight="1" x14ac:dyDescent="0.3">
      <c r="A77" s="71">
        <f t="shared" si="0"/>
        <v>74</v>
      </c>
      <c r="B77" s="71">
        <v>0</v>
      </c>
      <c r="C77" s="71" t="s">
        <v>1340</v>
      </c>
      <c r="D77" s="71" t="s">
        <v>1341</v>
      </c>
      <c r="E77" s="72" t="s">
        <v>1050</v>
      </c>
      <c r="F77" s="71" t="s">
        <v>1342</v>
      </c>
      <c r="G77" s="71" t="s">
        <v>1339</v>
      </c>
      <c r="H77" s="71" t="s">
        <v>171</v>
      </c>
      <c r="I77" s="71" t="s">
        <v>29</v>
      </c>
      <c r="J77" s="71" t="s">
        <v>31</v>
      </c>
      <c r="K77" s="75" t="s">
        <v>245</v>
      </c>
      <c r="L77" s="71" t="s">
        <v>1247</v>
      </c>
      <c r="M77" s="71" t="s">
        <v>1248</v>
      </c>
      <c r="N77" s="71"/>
      <c r="O77" s="71"/>
      <c r="P77" s="71"/>
      <c r="Q77" s="71"/>
      <c r="R77" s="71"/>
      <c r="S77" s="71"/>
      <c r="T77" s="71"/>
      <c r="U77" s="72"/>
      <c r="V77" s="72"/>
      <c r="W77" s="71"/>
      <c r="X77" s="72"/>
    </row>
    <row r="78" spans="1:24" ht="30" customHeight="1" x14ac:dyDescent="0.3">
      <c r="A78" s="14">
        <f t="shared" si="0"/>
        <v>75</v>
      </c>
      <c r="B78" s="15" t="s">
        <v>172</v>
      </c>
      <c r="C78" s="15" t="s">
        <v>877</v>
      </c>
      <c r="D78" s="15" t="s">
        <v>614</v>
      </c>
      <c r="E78" s="19" t="s">
        <v>878</v>
      </c>
      <c r="F78" s="15" t="s">
        <v>614</v>
      </c>
      <c r="G78" s="15" t="s">
        <v>645</v>
      </c>
      <c r="H78" s="14" t="s">
        <v>171</v>
      </c>
      <c r="I78" s="14" t="s">
        <v>24</v>
      </c>
      <c r="J78" s="14" t="s">
        <v>31</v>
      </c>
      <c r="K78" s="14" t="s">
        <v>163</v>
      </c>
      <c r="L78" s="14" t="s">
        <v>163</v>
      </c>
      <c r="M78" s="14" t="s">
        <v>32</v>
      </c>
      <c r="N78" s="14"/>
      <c r="O78" s="14"/>
      <c r="P78" s="14"/>
      <c r="Q78" s="14"/>
      <c r="R78" s="14"/>
      <c r="S78" s="14"/>
      <c r="T78" s="14"/>
      <c r="U78" s="5"/>
      <c r="V78" s="5"/>
      <c r="W78" s="14"/>
      <c r="X78" s="5"/>
    </row>
    <row r="79" spans="1:24" ht="30" customHeight="1" x14ac:dyDescent="0.3">
      <c r="A79" s="14">
        <f t="shared" si="0"/>
        <v>76</v>
      </c>
      <c r="B79" s="15" t="s">
        <v>172</v>
      </c>
      <c r="C79" s="15" t="s">
        <v>879</v>
      </c>
      <c r="D79" s="15" t="s">
        <v>614</v>
      </c>
      <c r="E79" s="19" t="s">
        <v>880</v>
      </c>
      <c r="F79" s="15" t="s">
        <v>614</v>
      </c>
      <c r="G79" s="15" t="s">
        <v>645</v>
      </c>
      <c r="H79" s="14" t="s">
        <v>171</v>
      </c>
      <c r="I79" s="14" t="s">
        <v>24</v>
      </c>
      <c r="J79" s="14" t="s">
        <v>31</v>
      </c>
      <c r="K79" s="14" t="s">
        <v>163</v>
      </c>
      <c r="L79" s="14" t="s">
        <v>163</v>
      </c>
      <c r="M79" s="14" t="s">
        <v>33</v>
      </c>
      <c r="N79" s="14"/>
      <c r="O79" s="14"/>
      <c r="P79" s="14"/>
      <c r="Q79" s="14"/>
      <c r="R79" s="14"/>
      <c r="S79" s="14"/>
      <c r="T79" s="14"/>
      <c r="U79" s="5"/>
      <c r="V79" s="5"/>
      <c r="W79" s="14"/>
      <c r="X79" s="5"/>
    </row>
    <row r="80" spans="1:24" ht="30" customHeight="1" x14ac:dyDescent="0.3">
      <c r="A80" s="14">
        <f t="shared" si="0"/>
        <v>77</v>
      </c>
      <c r="B80" s="15" t="s">
        <v>172</v>
      </c>
      <c r="C80" s="15" t="s">
        <v>881</v>
      </c>
      <c r="D80" s="15" t="s">
        <v>882</v>
      </c>
      <c r="E80" s="19" t="s">
        <v>883</v>
      </c>
      <c r="F80" s="15" t="s">
        <v>615</v>
      </c>
      <c r="G80" s="15" t="s">
        <v>645</v>
      </c>
      <c r="H80" s="14" t="s">
        <v>171</v>
      </c>
      <c r="I80" s="14" t="s">
        <v>29</v>
      </c>
      <c r="J80" s="14" t="s">
        <v>31</v>
      </c>
      <c r="K80" s="14" t="s">
        <v>163</v>
      </c>
      <c r="L80" s="14" t="s">
        <v>163</v>
      </c>
      <c r="M80" s="14" t="s">
        <v>742</v>
      </c>
      <c r="N80" s="14"/>
      <c r="O80" s="14"/>
      <c r="P80" s="14"/>
      <c r="Q80" s="14"/>
      <c r="R80" s="14"/>
      <c r="S80" s="14"/>
      <c r="T80" s="14"/>
      <c r="U80" s="5"/>
      <c r="V80" s="5"/>
      <c r="W80" s="14"/>
      <c r="X80" s="5"/>
    </row>
    <row r="81" spans="1:24" ht="30" customHeight="1" x14ac:dyDescent="0.3">
      <c r="A81" s="14">
        <f t="shared" si="0"/>
        <v>78</v>
      </c>
      <c r="B81" s="15" t="s">
        <v>172</v>
      </c>
      <c r="C81" s="15" t="s">
        <v>884</v>
      </c>
      <c r="D81" s="15" t="s">
        <v>885</v>
      </c>
      <c r="E81" s="19" t="s">
        <v>886</v>
      </c>
      <c r="F81" s="15" t="s">
        <v>615</v>
      </c>
      <c r="G81" s="15" t="s">
        <v>645</v>
      </c>
      <c r="H81" s="14" t="s">
        <v>171</v>
      </c>
      <c r="I81" s="14" t="s">
        <v>29</v>
      </c>
      <c r="J81" s="14" t="s">
        <v>31</v>
      </c>
      <c r="K81" s="14" t="s">
        <v>163</v>
      </c>
      <c r="L81" s="14" t="s">
        <v>163</v>
      </c>
      <c r="M81" s="14" t="s">
        <v>32</v>
      </c>
      <c r="N81" s="14"/>
      <c r="O81" s="14"/>
      <c r="P81" s="14"/>
      <c r="Q81" s="14"/>
      <c r="R81" s="14"/>
      <c r="S81" s="14"/>
      <c r="T81" s="14"/>
      <c r="U81" s="5"/>
      <c r="V81" s="5"/>
      <c r="W81" s="14"/>
      <c r="X81" s="5"/>
    </row>
    <row r="82" spans="1:24" ht="30" customHeight="1" x14ac:dyDescent="0.3">
      <c r="A82" s="14">
        <f t="shared" si="0"/>
        <v>79</v>
      </c>
      <c r="B82" s="15" t="s">
        <v>172</v>
      </c>
      <c r="C82" s="15" t="s">
        <v>887</v>
      </c>
      <c r="D82" s="15" t="s">
        <v>888</v>
      </c>
      <c r="E82" s="19" t="s">
        <v>739</v>
      </c>
      <c r="F82" s="15" t="s">
        <v>615</v>
      </c>
      <c r="G82" s="15" t="s">
        <v>645</v>
      </c>
      <c r="H82" s="14" t="s">
        <v>171</v>
      </c>
      <c r="I82" s="14" t="s">
        <v>29</v>
      </c>
      <c r="J82" s="14" t="s">
        <v>31</v>
      </c>
      <c r="K82" s="14" t="s">
        <v>163</v>
      </c>
      <c r="L82" s="14" t="s">
        <v>166</v>
      </c>
      <c r="M82" s="14" t="s">
        <v>743</v>
      </c>
      <c r="N82" s="14"/>
      <c r="O82" s="14"/>
      <c r="P82" s="14"/>
      <c r="Q82" s="14"/>
      <c r="R82" s="14"/>
      <c r="S82" s="14"/>
      <c r="T82" s="14"/>
      <c r="U82" s="5"/>
      <c r="V82" s="5"/>
      <c r="W82" s="14"/>
      <c r="X82" s="5"/>
    </row>
    <row r="83" spans="1:24" s="73" customFormat="1" ht="30" customHeight="1" x14ac:dyDescent="0.3">
      <c r="A83" s="71">
        <f t="shared" si="0"/>
        <v>80</v>
      </c>
      <c r="B83" s="71">
        <v>0</v>
      </c>
      <c r="C83" s="71" t="s">
        <v>1343</v>
      </c>
      <c r="D83" s="71" t="s">
        <v>1344</v>
      </c>
      <c r="E83" s="72" t="s">
        <v>1050</v>
      </c>
      <c r="F83" s="71" t="s">
        <v>1345</v>
      </c>
      <c r="G83" s="71" t="s">
        <v>1339</v>
      </c>
      <c r="H83" s="71" t="s">
        <v>171</v>
      </c>
      <c r="I83" s="71" t="s">
        <v>29</v>
      </c>
      <c r="J83" s="71" t="s">
        <v>31</v>
      </c>
      <c r="K83" s="75" t="s">
        <v>245</v>
      </c>
      <c r="L83" s="71" t="s">
        <v>1247</v>
      </c>
      <c r="M83" s="71" t="s">
        <v>1248</v>
      </c>
      <c r="N83" s="71"/>
      <c r="O83" s="71"/>
      <c r="P83" s="71"/>
      <c r="Q83" s="71"/>
      <c r="R83" s="71"/>
      <c r="S83" s="71"/>
      <c r="T83" s="71"/>
      <c r="U83" s="72"/>
      <c r="V83" s="72"/>
      <c r="W83" s="71"/>
      <c r="X83" s="72"/>
    </row>
    <row r="84" spans="1:24" ht="30" customHeight="1" x14ac:dyDescent="0.3">
      <c r="A84" s="14">
        <f t="shared" si="0"/>
        <v>81</v>
      </c>
      <c r="B84" s="15" t="s">
        <v>172</v>
      </c>
      <c r="C84" s="15" t="s">
        <v>889</v>
      </c>
      <c r="D84" s="15" t="s">
        <v>615</v>
      </c>
      <c r="E84" s="19" t="s">
        <v>890</v>
      </c>
      <c r="F84" s="15" t="s">
        <v>615</v>
      </c>
      <c r="G84" s="15" t="s">
        <v>645</v>
      </c>
      <c r="H84" s="14" t="s">
        <v>171</v>
      </c>
      <c r="I84" s="14" t="s">
        <v>24</v>
      </c>
      <c r="J84" s="14" t="s">
        <v>31</v>
      </c>
      <c r="K84" s="14" t="s">
        <v>163</v>
      </c>
      <c r="L84" s="14" t="s">
        <v>163</v>
      </c>
      <c r="M84" s="14" t="s">
        <v>32</v>
      </c>
      <c r="N84" s="14"/>
      <c r="O84" s="14"/>
      <c r="P84" s="14"/>
      <c r="Q84" s="14"/>
      <c r="R84" s="14"/>
      <c r="S84" s="14"/>
      <c r="T84" s="14"/>
      <c r="U84" s="5"/>
      <c r="V84" s="5"/>
      <c r="W84" s="14"/>
      <c r="X84" s="5"/>
    </row>
    <row r="85" spans="1:24" ht="30" customHeight="1" x14ac:dyDescent="0.3">
      <c r="A85" s="14">
        <f t="shared" si="0"/>
        <v>82</v>
      </c>
      <c r="B85" s="15" t="s">
        <v>172</v>
      </c>
      <c r="C85" s="15" t="s">
        <v>891</v>
      </c>
      <c r="D85" s="15" t="s">
        <v>615</v>
      </c>
      <c r="E85" s="19" t="s">
        <v>892</v>
      </c>
      <c r="F85" s="15" t="s">
        <v>615</v>
      </c>
      <c r="G85" s="15" t="s">
        <v>645</v>
      </c>
      <c r="H85" s="14" t="s">
        <v>171</v>
      </c>
      <c r="I85" s="14" t="s">
        <v>24</v>
      </c>
      <c r="J85" s="14" t="s">
        <v>31</v>
      </c>
      <c r="K85" s="14" t="s">
        <v>163</v>
      </c>
      <c r="L85" s="14" t="s">
        <v>163</v>
      </c>
      <c r="M85" s="14" t="s">
        <v>33</v>
      </c>
      <c r="N85" s="14"/>
      <c r="O85" s="14"/>
      <c r="P85" s="14"/>
      <c r="Q85" s="14"/>
      <c r="R85" s="14"/>
      <c r="S85" s="14"/>
      <c r="T85" s="14"/>
      <c r="U85" s="5"/>
      <c r="V85" s="5"/>
      <c r="W85" s="14"/>
      <c r="X85" s="5"/>
    </row>
    <row r="86" spans="1:24" ht="30" customHeight="1" x14ac:dyDescent="0.3">
      <c r="A86" s="14">
        <f t="shared" si="0"/>
        <v>83</v>
      </c>
      <c r="B86" s="15" t="s">
        <v>172</v>
      </c>
      <c r="C86" s="15" t="s">
        <v>893</v>
      </c>
      <c r="D86" s="15" t="s">
        <v>894</v>
      </c>
      <c r="E86" s="19" t="s">
        <v>895</v>
      </c>
      <c r="F86" s="15" t="s">
        <v>616</v>
      </c>
      <c r="G86" s="15" t="s">
        <v>645</v>
      </c>
      <c r="H86" s="14" t="s">
        <v>171</v>
      </c>
      <c r="I86" s="14" t="s">
        <v>29</v>
      </c>
      <c r="J86" s="14" t="s">
        <v>31</v>
      </c>
      <c r="K86" s="14" t="s">
        <v>163</v>
      </c>
      <c r="L86" s="14" t="s">
        <v>163</v>
      </c>
      <c r="M86" s="14" t="s">
        <v>742</v>
      </c>
      <c r="N86" s="14"/>
      <c r="O86" s="14"/>
      <c r="P86" s="14"/>
      <c r="Q86" s="14"/>
      <c r="R86" s="14"/>
      <c r="S86" s="14"/>
      <c r="T86" s="14"/>
      <c r="U86" s="5"/>
      <c r="V86" s="5"/>
      <c r="W86" s="14"/>
      <c r="X86" s="5"/>
    </row>
    <row r="87" spans="1:24" ht="30" customHeight="1" x14ac:dyDescent="0.3">
      <c r="A87" s="14">
        <f t="shared" si="0"/>
        <v>84</v>
      </c>
      <c r="B87" s="15" t="s">
        <v>172</v>
      </c>
      <c r="C87" s="15" t="s">
        <v>896</v>
      </c>
      <c r="D87" s="15" t="s">
        <v>897</v>
      </c>
      <c r="E87" s="19" t="s">
        <v>898</v>
      </c>
      <c r="F87" s="15" t="s">
        <v>616</v>
      </c>
      <c r="G87" s="15" t="s">
        <v>645</v>
      </c>
      <c r="H87" s="14" t="s">
        <v>171</v>
      </c>
      <c r="I87" s="14" t="s">
        <v>29</v>
      </c>
      <c r="J87" s="14" t="s">
        <v>31</v>
      </c>
      <c r="K87" s="14" t="s">
        <v>163</v>
      </c>
      <c r="L87" s="14" t="s">
        <v>163</v>
      </c>
      <c r="M87" s="14" t="s">
        <v>32</v>
      </c>
      <c r="N87" s="14"/>
      <c r="O87" s="14"/>
      <c r="P87" s="14"/>
      <c r="Q87" s="14"/>
      <c r="R87" s="14"/>
      <c r="S87" s="14"/>
      <c r="T87" s="14"/>
      <c r="U87" s="5"/>
      <c r="V87" s="5"/>
      <c r="W87" s="14"/>
      <c r="X87" s="5"/>
    </row>
    <row r="88" spans="1:24" ht="30" customHeight="1" x14ac:dyDescent="0.3">
      <c r="A88" s="14">
        <f t="shared" si="0"/>
        <v>85</v>
      </c>
      <c r="B88" s="15" t="s">
        <v>172</v>
      </c>
      <c r="C88" s="15" t="s">
        <v>899</v>
      </c>
      <c r="D88" s="15" t="s">
        <v>900</v>
      </c>
      <c r="E88" s="19" t="s">
        <v>739</v>
      </c>
      <c r="F88" s="15" t="s">
        <v>616</v>
      </c>
      <c r="G88" s="15" t="s">
        <v>645</v>
      </c>
      <c r="H88" s="14" t="s">
        <v>171</v>
      </c>
      <c r="I88" s="14" t="s">
        <v>29</v>
      </c>
      <c r="J88" s="14" t="s">
        <v>31</v>
      </c>
      <c r="K88" s="14" t="s">
        <v>163</v>
      </c>
      <c r="L88" s="14" t="s">
        <v>166</v>
      </c>
      <c r="M88" s="14" t="s">
        <v>743</v>
      </c>
      <c r="N88" s="14"/>
      <c r="O88" s="14"/>
      <c r="P88" s="14"/>
      <c r="Q88" s="14"/>
      <c r="R88" s="14"/>
      <c r="S88" s="14"/>
      <c r="T88" s="14"/>
      <c r="U88" s="5"/>
      <c r="V88" s="5"/>
      <c r="W88" s="14"/>
      <c r="X88" s="5"/>
    </row>
    <row r="89" spans="1:24" s="73" customFormat="1" ht="30" customHeight="1" x14ac:dyDescent="0.3">
      <c r="A89" s="71">
        <f t="shared" si="0"/>
        <v>86</v>
      </c>
      <c r="B89" s="71">
        <v>0</v>
      </c>
      <c r="C89" s="71" t="s">
        <v>1346</v>
      </c>
      <c r="D89" s="71" t="s">
        <v>1347</v>
      </c>
      <c r="E89" s="72" t="s">
        <v>1050</v>
      </c>
      <c r="F89" s="71" t="s">
        <v>1348</v>
      </c>
      <c r="G89" s="71" t="s">
        <v>1339</v>
      </c>
      <c r="H89" s="71" t="s">
        <v>171</v>
      </c>
      <c r="I89" s="71" t="s">
        <v>29</v>
      </c>
      <c r="J89" s="71" t="s">
        <v>31</v>
      </c>
      <c r="K89" s="75" t="s">
        <v>245</v>
      </c>
      <c r="L89" s="71" t="s">
        <v>1247</v>
      </c>
      <c r="M89" s="71" t="s">
        <v>1248</v>
      </c>
      <c r="N89" s="71"/>
      <c r="O89" s="71"/>
      <c r="P89" s="71"/>
      <c r="Q89" s="71"/>
      <c r="R89" s="71"/>
      <c r="S89" s="71"/>
      <c r="T89" s="71"/>
      <c r="U89" s="72"/>
      <c r="V89" s="72"/>
      <c r="W89" s="71"/>
      <c r="X89" s="72"/>
    </row>
    <row r="90" spans="1:24" ht="30" customHeight="1" x14ac:dyDescent="0.3">
      <c r="A90" s="14">
        <f t="shared" si="0"/>
        <v>87</v>
      </c>
      <c r="B90" s="15" t="s">
        <v>172</v>
      </c>
      <c r="C90" s="15" t="s">
        <v>901</v>
      </c>
      <c r="D90" s="15" t="s">
        <v>616</v>
      </c>
      <c r="E90" s="19" t="s">
        <v>902</v>
      </c>
      <c r="F90" s="15" t="s">
        <v>616</v>
      </c>
      <c r="G90" s="15" t="s">
        <v>645</v>
      </c>
      <c r="H90" s="14" t="s">
        <v>171</v>
      </c>
      <c r="I90" s="14" t="s">
        <v>24</v>
      </c>
      <c r="J90" s="14" t="s">
        <v>31</v>
      </c>
      <c r="K90" s="14" t="s">
        <v>163</v>
      </c>
      <c r="L90" s="14" t="s">
        <v>163</v>
      </c>
      <c r="M90" s="14" t="s">
        <v>32</v>
      </c>
      <c r="N90" s="14"/>
      <c r="O90" s="14"/>
      <c r="P90" s="14"/>
      <c r="Q90" s="14"/>
      <c r="R90" s="14"/>
      <c r="S90" s="14"/>
      <c r="T90" s="14"/>
      <c r="U90" s="5"/>
      <c r="V90" s="5"/>
      <c r="W90" s="14"/>
      <c r="X90" s="5"/>
    </row>
    <row r="91" spans="1:24" ht="30" customHeight="1" x14ac:dyDescent="0.3">
      <c r="A91" s="14">
        <f t="shared" si="0"/>
        <v>88</v>
      </c>
      <c r="B91" s="15" t="s">
        <v>172</v>
      </c>
      <c r="C91" s="15" t="s">
        <v>903</v>
      </c>
      <c r="D91" s="15" t="s">
        <v>616</v>
      </c>
      <c r="E91" s="19" t="s">
        <v>904</v>
      </c>
      <c r="F91" s="15" t="s">
        <v>616</v>
      </c>
      <c r="G91" s="15" t="s">
        <v>645</v>
      </c>
      <c r="H91" s="14" t="s">
        <v>171</v>
      </c>
      <c r="I91" s="14" t="s">
        <v>24</v>
      </c>
      <c r="J91" s="14" t="s">
        <v>31</v>
      </c>
      <c r="K91" s="14" t="s">
        <v>163</v>
      </c>
      <c r="L91" s="14" t="s">
        <v>163</v>
      </c>
      <c r="M91" s="14" t="s">
        <v>33</v>
      </c>
      <c r="N91" s="14"/>
      <c r="O91" s="14"/>
      <c r="P91" s="14"/>
      <c r="Q91" s="14"/>
      <c r="R91" s="14"/>
      <c r="S91" s="14"/>
      <c r="T91" s="14"/>
      <c r="U91" s="5"/>
      <c r="V91" s="5"/>
      <c r="W91" s="14"/>
      <c r="X91" s="5"/>
    </row>
    <row r="92" spans="1:24" s="3" customFormat="1" ht="30" customHeight="1" x14ac:dyDescent="0.3">
      <c r="A92" s="14">
        <f t="shared" si="0"/>
        <v>89</v>
      </c>
      <c r="B92" s="15" t="s">
        <v>172</v>
      </c>
      <c r="C92" s="15" t="s">
        <v>671</v>
      </c>
      <c r="D92" s="15" t="s">
        <v>617</v>
      </c>
      <c r="E92" s="19" t="s">
        <v>745</v>
      </c>
      <c r="F92" s="15" t="s">
        <v>649</v>
      </c>
      <c r="G92" s="15" t="s">
        <v>640</v>
      </c>
      <c r="H92" s="14" t="s">
        <v>171</v>
      </c>
      <c r="I92" s="14" t="s">
        <v>29</v>
      </c>
      <c r="J92" s="14" t="s">
        <v>31</v>
      </c>
      <c r="K92" s="23"/>
      <c r="L92" s="23"/>
      <c r="M92" s="14" t="s">
        <v>43</v>
      </c>
      <c r="N92" s="14"/>
      <c r="O92" s="14"/>
      <c r="P92" s="14"/>
      <c r="Q92" s="14"/>
      <c r="R92" s="14"/>
      <c r="S92" s="14"/>
      <c r="T92" s="14"/>
      <c r="U92" s="5"/>
      <c r="V92" s="5"/>
      <c r="W92" s="14"/>
      <c r="X92" s="5" t="s">
        <v>1170</v>
      </c>
    </row>
    <row r="93" spans="1:24" s="3" customFormat="1" ht="30" customHeight="1" x14ac:dyDescent="0.3">
      <c r="A93" s="14">
        <f t="shared" si="0"/>
        <v>90</v>
      </c>
      <c r="B93" s="15" t="s">
        <v>172</v>
      </c>
      <c r="C93" s="15" t="s">
        <v>672</v>
      </c>
      <c r="D93" s="15" t="s">
        <v>618</v>
      </c>
      <c r="E93" s="19" t="s">
        <v>746</v>
      </c>
      <c r="F93" s="15" t="s">
        <v>650</v>
      </c>
      <c r="G93" s="15" t="s">
        <v>640</v>
      </c>
      <c r="H93" s="14" t="s">
        <v>171</v>
      </c>
      <c r="I93" s="14" t="s">
        <v>29</v>
      </c>
      <c r="J93" s="14" t="s">
        <v>31</v>
      </c>
      <c r="K93" s="23"/>
      <c r="L93" s="14"/>
      <c r="M93" s="14" t="s">
        <v>43</v>
      </c>
      <c r="N93" s="14"/>
      <c r="O93" s="14"/>
      <c r="P93" s="14"/>
      <c r="Q93" s="14"/>
      <c r="R93" s="14"/>
      <c r="S93" s="14"/>
      <c r="T93" s="14"/>
      <c r="U93" s="5"/>
      <c r="V93" s="5"/>
      <c r="W93" s="14"/>
      <c r="X93" s="5" t="s">
        <v>1170</v>
      </c>
    </row>
    <row r="94" spans="1:24" s="3" customFormat="1" ht="30" customHeight="1" x14ac:dyDescent="0.3">
      <c r="A94" s="14">
        <f t="shared" si="0"/>
        <v>91</v>
      </c>
      <c r="B94" s="15" t="s">
        <v>172</v>
      </c>
      <c r="C94" s="15" t="s">
        <v>673</v>
      </c>
      <c r="D94" s="15" t="s">
        <v>619</v>
      </c>
      <c r="E94" s="19" t="s">
        <v>747</v>
      </c>
      <c r="F94" s="15" t="s">
        <v>651</v>
      </c>
      <c r="G94" s="15" t="s">
        <v>640</v>
      </c>
      <c r="H94" s="14" t="s">
        <v>171</v>
      </c>
      <c r="I94" s="14" t="s">
        <v>29</v>
      </c>
      <c r="J94" s="14" t="s">
        <v>31</v>
      </c>
      <c r="K94" s="23"/>
      <c r="L94" s="23"/>
      <c r="M94" s="14" t="s">
        <v>43</v>
      </c>
      <c r="N94" s="14"/>
      <c r="O94" s="14"/>
      <c r="P94" s="14"/>
      <c r="Q94" s="14"/>
      <c r="R94" s="14"/>
      <c r="S94" s="14"/>
      <c r="T94" s="14"/>
      <c r="U94" s="5"/>
      <c r="V94" s="5"/>
      <c r="W94" s="14"/>
      <c r="X94" s="5" t="s">
        <v>1170</v>
      </c>
    </row>
    <row r="95" spans="1:24" s="3" customFormat="1" ht="30" customHeight="1" x14ac:dyDescent="0.3">
      <c r="A95" s="14">
        <f t="shared" si="0"/>
        <v>92</v>
      </c>
      <c r="B95" s="15" t="s">
        <v>172</v>
      </c>
      <c r="C95" s="15" t="s">
        <v>674</v>
      </c>
      <c r="D95" s="15" t="s">
        <v>620</v>
      </c>
      <c r="E95" s="19" t="s">
        <v>748</v>
      </c>
      <c r="F95" s="15" t="s">
        <v>652</v>
      </c>
      <c r="G95" s="15" t="s">
        <v>640</v>
      </c>
      <c r="H95" s="14" t="s">
        <v>171</v>
      </c>
      <c r="I95" s="14" t="s">
        <v>29</v>
      </c>
      <c r="J95" s="14" t="s">
        <v>31</v>
      </c>
      <c r="K95" s="23"/>
      <c r="L95" s="23"/>
      <c r="M95" s="14" t="s">
        <v>43</v>
      </c>
      <c r="N95" s="14"/>
      <c r="O95" s="14"/>
      <c r="P95" s="14"/>
      <c r="Q95" s="14"/>
      <c r="R95" s="14"/>
      <c r="S95" s="14"/>
      <c r="T95" s="14"/>
      <c r="U95" s="5"/>
      <c r="V95" s="5"/>
      <c r="W95" s="14"/>
      <c r="X95" s="5" t="s">
        <v>1170</v>
      </c>
    </row>
    <row r="96" spans="1:24" s="3" customFormat="1" ht="30" customHeight="1" x14ac:dyDescent="0.3">
      <c r="A96" s="14">
        <f t="shared" si="0"/>
        <v>93</v>
      </c>
      <c r="B96" s="15" t="s">
        <v>172</v>
      </c>
      <c r="C96" s="15" t="s">
        <v>682</v>
      </c>
      <c r="D96" s="15" t="s">
        <v>621</v>
      </c>
      <c r="E96" s="19" t="s">
        <v>749</v>
      </c>
      <c r="F96" s="15" t="s">
        <v>653</v>
      </c>
      <c r="G96" s="15" t="s">
        <v>645</v>
      </c>
      <c r="H96" s="14" t="s">
        <v>171</v>
      </c>
      <c r="I96" s="14" t="s">
        <v>29</v>
      </c>
      <c r="J96" s="14" t="s">
        <v>31</v>
      </c>
      <c r="K96" s="23"/>
      <c r="L96" s="23"/>
      <c r="M96" s="14" t="s">
        <v>43</v>
      </c>
      <c r="N96" s="14"/>
      <c r="O96" s="14"/>
      <c r="P96" s="14"/>
      <c r="Q96" s="14"/>
      <c r="R96" s="14"/>
      <c r="S96" s="14"/>
      <c r="T96" s="14"/>
      <c r="U96" s="5"/>
      <c r="V96" s="5"/>
      <c r="W96" s="14"/>
      <c r="X96" s="5" t="s">
        <v>1170</v>
      </c>
    </row>
    <row r="97" spans="1:24" s="3" customFormat="1" ht="30" customHeight="1" x14ac:dyDescent="0.3">
      <c r="A97" s="14">
        <f t="shared" si="0"/>
        <v>94</v>
      </c>
      <c r="B97" s="15" t="s">
        <v>172</v>
      </c>
      <c r="C97" s="15" t="s">
        <v>683</v>
      </c>
      <c r="D97" s="15" t="s">
        <v>622</v>
      </c>
      <c r="E97" s="19" t="s">
        <v>750</v>
      </c>
      <c r="F97" s="15" t="s">
        <v>654</v>
      </c>
      <c r="G97" s="15" t="s">
        <v>645</v>
      </c>
      <c r="H97" s="14" t="s">
        <v>171</v>
      </c>
      <c r="I97" s="14" t="s">
        <v>29</v>
      </c>
      <c r="J97" s="14" t="s">
        <v>31</v>
      </c>
      <c r="K97" s="23"/>
      <c r="L97" s="23"/>
      <c r="M97" s="14" t="s">
        <v>43</v>
      </c>
      <c r="N97" s="14"/>
      <c r="O97" s="14"/>
      <c r="P97" s="14"/>
      <c r="Q97" s="14"/>
      <c r="R97" s="14"/>
      <c r="S97" s="14"/>
      <c r="T97" s="14"/>
      <c r="U97" s="5"/>
      <c r="V97" s="5"/>
      <c r="W97" s="14"/>
      <c r="X97" s="5" t="s">
        <v>1170</v>
      </c>
    </row>
    <row r="98" spans="1:24" s="3" customFormat="1" ht="30" customHeight="1" x14ac:dyDescent="0.3">
      <c r="A98" s="14">
        <f t="shared" si="0"/>
        <v>95</v>
      </c>
      <c r="B98" s="15" t="s">
        <v>172</v>
      </c>
      <c r="C98" s="15" t="s">
        <v>684</v>
      </c>
      <c r="D98" s="15" t="s">
        <v>623</v>
      </c>
      <c r="E98" s="19" t="s">
        <v>751</v>
      </c>
      <c r="F98" s="15" t="s">
        <v>655</v>
      </c>
      <c r="G98" s="15" t="s">
        <v>645</v>
      </c>
      <c r="H98" s="14" t="s">
        <v>171</v>
      </c>
      <c r="I98" s="14" t="s">
        <v>29</v>
      </c>
      <c r="J98" s="14" t="s">
        <v>31</v>
      </c>
      <c r="K98" s="23"/>
      <c r="L98" s="14"/>
      <c r="M98" s="14" t="s">
        <v>43</v>
      </c>
      <c r="N98" s="14"/>
      <c r="O98" s="14"/>
      <c r="P98" s="14"/>
      <c r="Q98" s="14"/>
      <c r="R98" s="14"/>
      <c r="S98" s="14"/>
      <c r="T98" s="14"/>
      <c r="U98" s="5"/>
      <c r="V98" s="5"/>
      <c r="W98" s="14"/>
      <c r="X98" s="5" t="s">
        <v>1170</v>
      </c>
    </row>
    <row r="99" spans="1:24" s="3" customFormat="1" ht="30" customHeight="1" x14ac:dyDescent="0.3">
      <c r="A99" s="14">
        <f t="shared" si="0"/>
        <v>96</v>
      </c>
      <c r="B99" s="15" t="s">
        <v>172</v>
      </c>
      <c r="C99" s="15" t="s">
        <v>685</v>
      </c>
      <c r="D99" s="15" t="s">
        <v>624</v>
      </c>
      <c r="E99" s="19" t="s">
        <v>752</v>
      </c>
      <c r="F99" s="15" t="s">
        <v>656</v>
      </c>
      <c r="G99" s="15" t="s">
        <v>645</v>
      </c>
      <c r="H99" s="14" t="s">
        <v>171</v>
      </c>
      <c r="I99" s="14" t="s">
        <v>29</v>
      </c>
      <c r="J99" s="14" t="s">
        <v>31</v>
      </c>
      <c r="K99" s="23"/>
      <c r="L99" s="23"/>
      <c r="M99" s="14" t="s">
        <v>43</v>
      </c>
      <c r="N99" s="14"/>
      <c r="O99" s="14"/>
      <c r="P99" s="14"/>
      <c r="Q99" s="14"/>
      <c r="R99" s="14"/>
      <c r="S99" s="14"/>
      <c r="T99" s="14"/>
      <c r="U99" s="5"/>
      <c r="V99" s="5"/>
      <c r="W99" s="14"/>
      <c r="X99" s="5" t="s">
        <v>1170</v>
      </c>
    </row>
    <row r="100" spans="1:24" s="3" customFormat="1" ht="30" customHeight="1" x14ac:dyDescent="0.3">
      <c r="A100" s="14">
        <f t="shared" si="0"/>
        <v>97</v>
      </c>
      <c r="B100" s="15" t="s">
        <v>172</v>
      </c>
      <c r="C100" s="15" t="s">
        <v>676</v>
      </c>
      <c r="D100" s="15" t="s">
        <v>634</v>
      </c>
      <c r="E100" s="19" t="s">
        <v>753</v>
      </c>
      <c r="F100" s="15" t="s">
        <v>657</v>
      </c>
      <c r="G100" s="15" t="s">
        <v>640</v>
      </c>
      <c r="H100" s="14" t="s">
        <v>171</v>
      </c>
      <c r="I100" s="14" t="s">
        <v>29</v>
      </c>
      <c r="J100" s="14" t="s">
        <v>31</v>
      </c>
      <c r="K100" s="14"/>
      <c r="L100" s="14" t="s">
        <v>40</v>
      </c>
      <c r="M100" s="14" t="s">
        <v>41</v>
      </c>
      <c r="N100" s="14"/>
      <c r="O100" s="14"/>
      <c r="P100" s="14"/>
      <c r="Q100" s="14"/>
      <c r="R100" s="14"/>
      <c r="S100" s="14"/>
      <c r="T100" s="14"/>
      <c r="U100" s="5"/>
      <c r="V100" s="5"/>
      <c r="W100" s="14"/>
      <c r="X100" s="5" t="s">
        <v>1170</v>
      </c>
    </row>
    <row r="101" spans="1:24" s="3" customFormat="1" ht="30" customHeight="1" x14ac:dyDescent="0.3">
      <c r="A101" s="14">
        <f t="shared" si="0"/>
        <v>98</v>
      </c>
      <c r="B101" s="15" t="s">
        <v>172</v>
      </c>
      <c r="C101" s="15" t="s">
        <v>677</v>
      </c>
      <c r="D101" s="15" t="s">
        <v>625</v>
      </c>
      <c r="E101" s="19" t="s">
        <v>754</v>
      </c>
      <c r="F101" s="15" t="s">
        <v>658</v>
      </c>
      <c r="G101" s="15" t="s">
        <v>640</v>
      </c>
      <c r="H101" s="14" t="s">
        <v>171</v>
      </c>
      <c r="I101" s="14" t="s">
        <v>29</v>
      </c>
      <c r="J101" s="14" t="s">
        <v>31</v>
      </c>
      <c r="K101" s="14"/>
      <c r="L101" s="14" t="s">
        <v>40</v>
      </c>
      <c r="M101" s="14" t="s">
        <v>41</v>
      </c>
      <c r="N101" s="14"/>
      <c r="O101" s="14"/>
      <c r="P101" s="14"/>
      <c r="Q101" s="14"/>
      <c r="R101" s="14"/>
      <c r="S101" s="14"/>
      <c r="T101" s="14"/>
      <c r="U101" s="5"/>
      <c r="V101" s="5"/>
      <c r="W101" s="14"/>
      <c r="X101" s="5" t="s">
        <v>1170</v>
      </c>
    </row>
    <row r="102" spans="1:24" s="3" customFormat="1" ht="30" customHeight="1" x14ac:dyDescent="0.3">
      <c r="A102" s="14">
        <f t="shared" si="0"/>
        <v>99</v>
      </c>
      <c r="B102" s="15" t="s">
        <v>172</v>
      </c>
      <c r="C102" s="15" t="s">
        <v>678</v>
      </c>
      <c r="D102" s="15" t="s">
        <v>626</v>
      </c>
      <c r="E102" s="19" t="s">
        <v>755</v>
      </c>
      <c r="F102" s="15" t="s">
        <v>659</v>
      </c>
      <c r="G102" s="15" t="s">
        <v>640</v>
      </c>
      <c r="H102" s="14" t="s">
        <v>171</v>
      </c>
      <c r="I102" s="14" t="s">
        <v>29</v>
      </c>
      <c r="J102" s="14" t="s">
        <v>31</v>
      </c>
      <c r="K102" s="14"/>
      <c r="L102" s="14" t="s">
        <v>40</v>
      </c>
      <c r="M102" s="14" t="s">
        <v>41</v>
      </c>
      <c r="N102" s="14"/>
      <c r="O102" s="14"/>
      <c r="P102" s="14"/>
      <c r="Q102" s="14"/>
      <c r="R102" s="14"/>
      <c r="S102" s="14"/>
      <c r="T102" s="14"/>
      <c r="U102" s="5"/>
      <c r="V102" s="5"/>
      <c r="W102" s="14"/>
      <c r="X102" s="5" t="s">
        <v>1170</v>
      </c>
    </row>
    <row r="103" spans="1:24" s="3" customFormat="1" ht="30" customHeight="1" x14ac:dyDescent="0.3">
      <c r="A103" s="14">
        <f t="shared" si="0"/>
        <v>100</v>
      </c>
      <c r="B103" s="15" t="s">
        <v>172</v>
      </c>
      <c r="C103" s="15" t="s">
        <v>679</v>
      </c>
      <c r="D103" s="15" t="s">
        <v>627</v>
      </c>
      <c r="E103" s="19" t="s">
        <v>756</v>
      </c>
      <c r="F103" s="15" t="s">
        <v>660</v>
      </c>
      <c r="G103" s="15" t="s">
        <v>640</v>
      </c>
      <c r="H103" s="14" t="s">
        <v>171</v>
      </c>
      <c r="I103" s="14" t="s">
        <v>29</v>
      </c>
      <c r="J103" s="14" t="s">
        <v>31</v>
      </c>
      <c r="K103" s="14"/>
      <c r="L103" s="14" t="s">
        <v>40</v>
      </c>
      <c r="M103" s="14" t="s">
        <v>41</v>
      </c>
      <c r="N103" s="14"/>
      <c r="O103" s="14"/>
      <c r="P103" s="14"/>
      <c r="Q103" s="14"/>
      <c r="R103" s="14"/>
      <c r="S103" s="14"/>
      <c r="T103" s="14"/>
      <c r="U103" s="5"/>
      <c r="V103" s="5"/>
      <c r="W103" s="14"/>
      <c r="X103" s="5" t="s">
        <v>1170</v>
      </c>
    </row>
    <row r="104" spans="1:24" s="3" customFormat="1" ht="30" customHeight="1" x14ac:dyDescent="0.3">
      <c r="A104" s="14">
        <f t="shared" si="0"/>
        <v>101</v>
      </c>
      <c r="B104" s="15" t="s">
        <v>172</v>
      </c>
      <c r="C104" s="15" t="s">
        <v>686</v>
      </c>
      <c r="D104" s="15" t="s">
        <v>628</v>
      </c>
      <c r="E104" s="19" t="s">
        <v>757</v>
      </c>
      <c r="F104" s="15" t="s">
        <v>661</v>
      </c>
      <c r="G104" s="15" t="s">
        <v>645</v>
      </c>
      <c r="H104" s="14" t="s">
        <v>171</v>
      </c>
      <c r="I104" s="14" t="s">
        <v>29</v>
      </c>
      <c r="J104" s="14" t="s">
        <v>31</v>
      </c>
      <c r="K104" s="14"/>
      <c r="L104" s="14" t="s">
        <v>40</v>
      </c>
      <c r="M104" s="14" t="s">
        <v>41</v>
      </c>
      <c r="N104" s="14"/>
      <c r="O104" s="14"/>
      <c r="P104" s="14"/>
      <c r="Q104" s="14"/>
      <c r="R104" s="14"/>
      <c r="S104" s="14"/>
      <c r="T104" s="14"/>
      <c r="U104" s="5"/>
      <c r="V104" s="5"/>
      <c r="W104" s="14"/>
      <c r="X104" s="5" t="s">
        <v>1170</v>
      </c>
    </row>
    <row r="105" spans="1:24" s="3" customFormat="1" ht="30" customHeight="1" x14ac:dyDescent="0.3">
      <c r="A105" s="14">
        <f t="shared" ref="A105:A108" si="1">ROW()-3</f>
        <v>102</v>
      </c>
      <c r="B105" s="15" t="s">
        <v>172</v>
      </c>
      <c r="C105" s="15" t="s">
        <v>687</v>
      </c>
      <c r="D105" s="15" t="s">
        <v>629</v>
      </c>
      <c r="E105" s="19" t="s">
        <v>758</v>
      </c>
      <c r="F105" s="15" t="s">
        <v>662</v>
      </c>
      <c r="G105" s="15" t="s">
        <v>645</v>
      </c>
      <c r="H105" s="14" t="s">
        <v>171</v>
      </c>
      <c r="I105" s="14" t="s">
        <v>29</v>
      </c>
      <c r="J105" s="14" t="s">
        <v>31</v>
      </c>
      <c r="K105" s="14"/>
      <c r="L105" s="14" t="s">
        <v>40</v>
      </c>
      <c r="M105" s="14" t="s">
        <v>41</v>
      </c>
      <c r="N105" s="14"/>
      <c r="O105" s="14"/>
      <c r="P105" s="14"/>
      <c r="Q105" s="14"/>
      <c r="R105" s="14"/>
      <c r="S105" s="14"/>
      <c r="T105" s="14"/>
      <c r="U105" s="5"/>
      <c r="V105" s="5"/>
      <c r="W105" s="14"/>
      <c r="X105" s="5" t="s">
        <v>1170</v>
      </c>
    </row>
    <row r="106" spans="1:24" s="3" customFormat="1" ht="30" customHeight="1" x14ac:dyDescent="0.3">
      <c r="A106" s="14">
        <f t="shared" si="1"/>
        <v>103</v>
      </c>
      <c r="B106" s="15" t="s">
        <v>172</v>
      </c>
      <c r="C106" s="15" t="s">
        <v>688</v>
      </c>
      <c r="D106" s="15" t="s">
        <v>630</v>
      </c>
      <c r="E106" s="19" t="s">
        <v>759</v>
      </c>
      <c r="F106" s="15" t="s">
        <v>663</v>
      </c>
      <c r="G106" s="15" t="s">
        <v>645</v>
      </c>
      <c r="H106" s="14" t="s">
        <v>171</v>
      </c>
      <c r="I106" s="14" t="s">
        <v>29</v>
      </c>
      <c r="J106" s="14" t="s">
        <v>31</v>
      </c>
      <c r="K106" s="14"/>
      <c r="L106" s="14" t="s">
        <v>40</v>
      </c>
      <c r="M106" s="14" t="s">
        <v>41</v>
      </c>
      <c r="N106" s="14"/>
      <c r="O106" s="14"/>
      <c r="P106" s="14"/>
      <c r="Q106" s="14"/>
      <c r="R106" s="14"/>
      <c r="S106" s="14"/>
      <c r="T106" s="14"/>
      <c r="U106" s="5"/>
      <c r="V106" s="5"/>
      <c r="W106" s="14"/>
      <c r="X106" s="5" t="s">
        <v>1170</v>
      </c>
    </row>
    <row r="107" spans="1:24" s="3" customFormat="1" ht="30" customHeight="1" x14ac:dyDescent="0.3">
      <c r="A107" s="14">
        <f t="shared" si="1"/>
        <v>104</v>
      </c>
      <c r="B107" s="15" t="s">
        <v>172</v>
      </c>
      <c r="C107" s="15" t="s">
        <v>689</v>
      </c>
      <c r="D107" s="15" t="s">
        <v>631</v>
      </c>
      <c r="E107" s="19" t="s">
        <v>760</v>
      </c>
      <c r="F107" s="15" t="s">
        <v>664</v>
      </c>
      <c r="G107" s="15" t="s">
        <v>645</v>
      </c>
      <c r="H107" s="14" t="s">
        <v>171</v>
      </c>
      <c r="I107" s="14" t="s">
        <v>29</v>
      </c>
      <c r="J107" s="14" t="s">
        <v>31</v>
      </c>
      <c r="K107" s="14"/>
      <c r="L107" s="14" t="s">
        <v>40</v>
      </c>
      <c r="M107" s="14" t="s">
        <v>41</v>
      </c>
      <c r="N107" s="14"/>
      <c r="O107" s="14"/>
      <c r="P107" s="14"/>
      <c r="Q107" s="14"/>
      <c r="R107" s="14"/>
      <c r="S107" s="14"/>
      <c r="T107" s="14"/>
      <c r="U107" s="5"/>
      <c r="V107" s="5"/>
      <c r="W107" s="14"/>
      <c r="X107" s="5" t="s">
        <v>1170</v>
      </c>
    </row>
    <row r="108" spans="1:24" s="3" customFormat="1" ht="30" customHeight="1" x14ac:dyDescent="0.3">
      <c r="A108" s="14">
        <f t="shared" si="1"/>
        <v>105</v>
      </c>
      <c r="B108" s="15" t="s">
        <v>172</v>
      </c>
      <c r="C108" s="15" t="s">
        <v>675</v>
      </c>
      <c r="D108" s="15" t="s">
        <v>632</v>
      </c>
      <c r="E108" s="19" t="s">
        <v>680</v>
      </c>
      <c r="F108" s="15" t="s">
        <v>681</v>
      </c>
      <c r="G108" s="15" t="s">
        <v>640</v>
      </c>
      <c r="H108" s="14" t="s">
        <v>171</v>
      </c>
      <c r="I108" s="14" t="s">
        <v>25</v>
      </c>
      <c r="J108" s="14" t="s">
        <v>30</v>
      </c>
      <c r="K108" s="14" t="s">
        <v>713</v>
      </c>
      <c r="L108" s="14" t="s">
        <v>163</v>
      </c>
      <c r="M108" s="14" t="s">
        <v>163</v>
      </c>
      <c r="N108" s="14"/>
      <c r="O108" s="14"/>
      <c r="P108" s="14"/>
      <c r="Q108" s="14"/>
      <c r="R108" s="14"/>
      <c r="S108" s="14"/>
      <c r="T108" s="14"/>
      <c r="U108" s="5"/>
      <c r="V108" s="5"/>
      <c r="W108" s="14"/>
      <c r="X108" s="5"/>
    </row>
    <row r="109" spans="1:24" s="3" customFormat="1" ht="30" customHeight="1" x14ac:dyDescent="0.3">
      <c r="A109" s="14"/>
      <c r="B109" s="15"/>
      <c r="C109" s="15"/>
      <c r="D109" s="15"/>
      <c r="E109" s="19"/>
      <c r="F109" s="19"/>
      <c r="G109" s="19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5"/>
      <c r="V109" s="5"/>
      <c r="W109" s="14"/>
      <c r="X109" s="5"/>
    </row>
    <row r="110" spans="1:24" s="3" customFormat="1" ht="30" customHeight="1" x14ac:dyDescent="0.3">
      <c r="A110" s="14"/>
      <c r="B110" s="15"/>
      <c r="C110" s="15"/>
      <c r="D110" s="15"/>
      <c r="E110" s="19"/>
      <c r="F110" s="19"/>
      <c r="G110" s="19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5"/>
      <c r="V110" s="5"/>
      <c r="W110" s="14"/>
      <c r="X110" s="5"/>
    </row>
    <row r="111" spans="1:24" s="3" customFormat="1" ht="30" customHeight="1" x14ac:dyDescent="0.3">
      <c r="A111" s="14"/>
      <c r="B111" s="15"/>
      <c r="C111" s="15"/>
      <c r="D111" s="15"/>
      <c r="E111" s="19"/>
      <c r="F111" s="19"/>
      <c r="G111" s="19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5"/>
      <c r="V111" s="5"/>
      <c r="W111" s="14"/>
      <c r="X111" s="5"/>
    </row>
    <row r="112" spans="1:24" s="3" customFormat="1" ht="30" customHeight="1" x14ac:dyDescent="0.3">
      <c r="B112" s="2"/>
      <c r="C112" s="2"/>
      <c r="E112" s="4"/>
      <c r="F112" s="4"/>
      <c r="G112" s="2"/>
      <c r="H112" s="4"/>
      <c r="U112" s="4"/>
      <c r="V112" s="4"/>
      <c r="X112" s="4"/>
    </row>
    <row r="113" spans="2:24" s="3" customFormat="1" ht="30" customHeight="1" x14ac:dyDescent="0.3">
      <c r="B113" s="2"/>
      <c r="C113" s="2"/>
      <c r="E113" s="4"/>
      <c r="F113" s="4"/>
      <c r="G113" s="2"/>
      <c r="H113" s="4"/>
      <c r="U113" s="4"/>
      <c r="V113" s="4"/>
      <c r="X113" s="4"/>
    </row>
    <row r="114" spans="2:24" s="3" customFormat="1" ht="30" customHeight="1" x14ac:dyDescent="0.3">
      <c r="B114" s="2"/>
      <c r="C114" s="2"/>
      <c r="E114" s="4"/>
      <c r="F114" s="4"/>
      <c r="G114" s="2"/>
      <c r="H114" s="4"/>
      <c r="U114" s="4"/>
      <c r="V114" s="4"/>
      <c r="X114" s="4"/>
    </row>
    <row r="115" spans="2:24" s="3" customFormat="1" ht="30" customHeight="1" x14ac:dyDescent="0.3">
      <c r="B115" s="2"/>
      <c r="C115" s="2"/>
      <c r="E115" s="4"/>
      <c r="F115" s="4"/>
      <c r="G115" s="2"/>
      <c r="H115" s="4"/>
      <c r="U115" s="4"/>
      <c r="V115" s="4"/>
      <c r="X115" s="4"/>
    </row>
    <row r="116" spans="2:24" s="3" customFormat="1" ht="30" customHeight="1" x14ac:dyDescent="0.3">
      <c r="B116" s="2"/>
      <c r="C116" s="2"/>
      <c r="E116" s="4"/>
      <c r="F116" s="4"/>
      <c r="G116" s="2"/>
      <c r="H116" s="4"/>
      <c r="U116" s="4"/>
      <c r="V116" s="4"/>
      <c r="X116" s="4"/>
    </row>
    <row r="117" spans="2:24" s="3" customFormat="1" ht="30" customHeight="1" x14ac:dyDescent="0.3">
      <c r="B117" s="2"/>
      <c r="C117" s="2"/>
      <c r="E117" s="4"/>
      <c r="F117" s="4"/>
      <c r="G117" s="2"/>
      <c r="H117" s="4"/>
      <c r="U117" s="4"/>
      <c r="V117" s="4"/>
      <c r="X117" s="4"/>
    </row>
    <row r="118" spans="2:24" s="3" customFormat="1" ht="30" customHeight="1" x14ac:dyDescent="0.3">
      <c r="B118" s="2"/>
      <c r="C118" s="2"/>
      <c r="E118" s="4"/>
      <c r="F118" s="4"/>
      <c r="G118" s="2"/>
      <c r="H118" s="4"/>
      <c r="U118" s="4"/>
      <c r="V118" s="4"/>
      <c r="X118" s="4"/>
    </row>
    <row r="119" spans="2:24" s="3" customFormat="1" ht="30" customHeight="1" x14ac:dyDescent="0.3">
      <c r="B119" s="2"/>
      <c r="C119" s="2"/>
      <c r="E119" s="4"/>
      <c r="F119" s="4"/>
      <c r="G119" s="2"/>
      <c r="H119" s="4"/>
      <c r="U119" s="4"/>
      <c r="V119" s="4"/>
      <c r="X119" s="4"/>
    </row>
    <row r="120" spans="2:24" s="3" customFormat="1" ht="30" customHeight="1" x14ac:dyDescent="0.3">
      <c r="B120" s="2"/>
      <c r="C120" s="2"/>
      <c r="E120" s="4"/>
      <c r="F120" s="4"/>
      <c r="G120" s="2"/>
      <c r="H120" s="4"/>
      <c r="U120" s="4"/>
      <c r="V120" s="4"/>
      <c r="X120" s="4"/>
    </row>
    <row r="121" spans="2:24" s="3" customFormat="1" ht="30" customHeight="1" x14ac:dyDescent="0.3">
      <c r="B121" s="2"/>
      <c r="C121" s="2"/>
      <c r="E121" s="4"/>
      <c r="F121" s="4"/>
      <c r="G121" s="2"/>
      <c r="H121" s="4"/>
      <c r="U121" s="4"/>
      <c r="V121" s="4"/>
      <c r="X121" s="4"/>
    </row>
    <row r="122" spans="2:24" s="3" customFormat="1" ht="30" customHeight="1" x14ac:dyDescent="0.3">
      <c r="B122" s="2"/>
      <c r="C122" s="2"/>
      <c r="E122" s="4"/>
      <c r="F122" s="4"/>
      <c r="G122" s="2"/>
      <c r="H122" s="4"/>
      <c r="U122" s="4"/>
      <c r="V122" s="4"/>
      <c r="X122" s="4"/>
    </row>
    <row r="123" spans="2:24" s="3" customFormat="1" ht="30" customHeight="1" x14ac:dyDescent="0.3">
      <c r="B123" s="2"/>
      <c r="C123" s="2"/>
      <c r="E123" s="4"/>
      <c r="F123" s="4"/>
      <c r="G123" s="2"/>
      <c r="H123" s="4"/>
      <c r="U123" s="4"/>
      <c r="V123" s="4"/>
      <c r="X123" s="4"/>
    </row>
    <row r="124" spans="2:24" s="3" customFormat="1" ht="30" customHeight="1" x14ac:dyDescent="0.3">
      <c r="B124" s="2"/>
      <c r="C124" s="2"/>
      <c r="E124" s="4"/>
      <c r="F124" s="4"/>
      <c r="G124" s="2"/>
      <c r="H124" s="4"/>
      <c r="U124" s="4"/>
      <c r="V124" s="4"/>
      <c r="X124" s="4"/>
    </row>
    <row r="125" spans="2:24" s="3" customFormat="1" ht="30" customHeight="1" x14ac:dyDescent="0.3">
      <c r="B125" s="2"/>
      <c r="C125" s="2"/>
      <c r="E125" s="4"/>
      <c r="F125" s="4"/>
      <c r="G125" s="2"/>
      <c r="H125" s="4"/>
      <c r="U125" s="4"/>
      <c r="V125" s="4"/>
      <c r="X125" s="4"/>
    </row>
    <row r="126" spans="2:24" s="3" customFormat="1" ht="30" customHeight="1" x14ac:dyDescent="0.3">
      <c r="B126" s="2"/>
      <c r="C126" s="2"/>
      <c r="E126" s="4"/>
      <c r="F126" s="4"/>
      <c r="G126" s="2"/>
      <c r="H126" s="4"/>
      <c r="U126" s="4"/>
      <c r="V126" s="4"/>
      <c r="X126" s="4"/>
    </row>
    <row r="127" spans="2:24" s="3" customFormat="1" ht="30" customHeight="1" x14ac:dyDescent="0.3">
      <c r="B127" s="2"/>
      <c r="C127" s="2"/>
      <c r="E127" s="4"/>
      <c r="F127" s="4"/>
      <c r="G127" s="2"/>
      <c r="H127" s="4"/>
      <c r="U127" s="4"/>
      <c r="V127" s="4"/>
      <c r="X127" s="4"/>
    </row>
    <row r="128" spans="2:24" s="3" customFormat="1" ht="30" customHeight="1" x14ac:dyDescent="0.3">
      <c r="B128" s="2"/>
      <c r="C128" s="2"/>
      <c r="E128" s="4"/>
      <c r="F128" s="4"/>
      <c r="G128" s="2"/>
      <c r="H128" s="4"/>
      <c r="U128" s="4"/>
      <c r="V128" s="4"/>
      <c r="X128" s="4"/>
    </row>
    <row r="129" spans="2:24" s="3" customFormat="1" ht="30" customHeight="1" x14ac:dyDescent="0.3">
      <c r="B129" s="2"/>
      <c r="C129" s="2"/>
      <c r="E129" s="4"/>
      <c r="F129" s="4"/>
      <c r="G129" s="2"/>
      <c r="H129" s="4"/>
      <c r="U129" s="4"/>
      <c r="V129" s="4"/>
      <c r="X129" s="4"/>
    </row>
    <row r="130" spans="2:24" s="3" customFormat="1" ht="30" customHeight="1" x14ac:dyDescent="0.3">
      <c r="B130" s="2"/>
      <c r="C130" s="2"/>
      <c r="E130" s="4"/>
      <c r="F130" s="4"/>
      <c r="G130" s="2"/>
      <c r="H130" s="4"/>
      <c r="U130" s="4"/>
      <c r="V130" s="4"/>
      <c r="X130" s="4"/>
    </row>
    <row r="131" spans="2:24" s="3" customFormat="1" ht="30" customHeight="1" x14ac:dyDescent="0.3">
      <c r="B131" s="2"/>
      <c r="C131" s="2"/>
      <c r="E131" s="4"/>
      <c r="F131" s="4"/>
      <c r="G131" s="2"/>
      <c r="H131" s="4"/>
      <c r="U131" s="4"/>
      <c r="V131" s="4"/>
      <c r="X131" s="4"/>
    </row>
    <row r="132" spans="2:24" s="3" customFormat="1" ht="30" customHeight="1" x14ac:dyDescent="0.3">
      <c r="B132" s="2"/>
      <c r="C132" s="2"/>
      <c r="E132" s="4"/>
      <c r="F132" s="4"/>
      <c r="G132" s="2"/>
      <c r="H132" s="4"/>
      <c r="U132" s="4"/>
      <c r="V132" s="4"/>
      <c r="X132" s="4"/>
    </row>
    <row r="133" spans="2:24" s="3" customFormat="1" ht="30" customHeight="1" x14ac:dyDescent="0.3">
      <c r="B133" s="2"/>
      <c r="C133" s="2"/>
      <c r="E133" s="4"/>
      <c r="F133" s="4"/>
      <c r="G133" s="2"/>
      <c r="H133" s="4"/>
      <c r="U133" s="4"/>
      <c r="V133" s="4"/>
      <c r="X133" s="4"/>
    </row>
    <row r="134" spans="2:24" s="3" customFormat="1" ht="30" customHeight="1" x14ac:dyDescent="0.3">
      <c r="B134" s="2"/>
      <c r="C134" s="2"/>
      <c r="E134" s="4"/>
      <c r="F134" s="4"/>
      <c r="G134" s="4"/>
      <c r="H134" s="2"/>
      <c r="U134" s="4"/>
      <c r="V134" s="4"/>
      <c r="X134" s="4"/>
    </row>
    <row r="135" spans="2:24" s="3" customFormat="1" ht="30" customHeight="1" x14ac:dyDescent="0.3">
      <c r="B135" s="2"/>
      <c r="C135" s="2"/>
      <c r="E135" s="4"/>
      <c r="F135" s="4"/>
      <c r="G135" s="4"/>
      <c r="H135" s="2"/>
      <c r="U135" s="4"/>
      <c r="V135" s="4"/>
      <c r="X135" s="4"/>
    </row>
    <row r="136" spans="2:24" s="3" customFormat="1" ht="30" customHeight="1" x14ac:dyDescent="0.3">
      <c r="B136" s="2"/>
      <c r="C136" s="2"/>
      <c r="E136" s="4"/>
      <c r="F136" s="4"/>
      <c r="G136" s="4"/>
      <c r="H136" s="2"/>
      <c r="U136" s="4"/>
      <c r="V136" s="4"/>
      <c r="X136" s="4"/>
    </row>
    <row r="137" spans="2:24" s="3" customFormat="1" ht="30" customHeight="1" x14ac:dyDescent="0.3">
      <c r="B137" s="2"/>
      <c r="C137" s="2"/>
      <c r="E137" s="4"/>
      <c r="F137" s="4"/>
      <c r="G137" s="4"/>
      <c r="H137" s="2"/>
      <c r="U137" s="4"/>
      <c r="V137" s="4"/>
      <c r="X137" s="4"/>
    </row>
    <row r="138" spans="2:24" s="3" customFormat="1" ht="30" customHeight="1" x14ac:dyDescent="0.3">
      <c r="B138" s="2"/>
      <c r="C138" s="2"/>
      <c r="E138" s="4"/>
      <c r="F138" s="4"/>
      <c r="G138" s="4"/>
      <c r="H138" s="2"/>
      <c r="U138" s="4"/>
      <c r="V138" s="4"/>
      <c r="X138" s="4"/>
    </row>
    <row r="139" spans="2:24" s="3" customFormat="1" ht="30" customHeight="1" x14ac:dyDescent="0.3">
      <c r="B139" s="2"/>
      <c r="C139" s="2"/>
      <c r="E139" s="4"/>
      <c r="F139" s="4"/>
      <c r="G139" s="4"/>
      <c r="H139" s="2"/>
      <c r="U139" s="4"/>
      <c r="V139" s="4"/>
      <c r="X139" s="4"/>
    </row>
  </sheetData>
  <autoFilter ref="A3:Z139" xr:uid="{F56D1C5C-316D-4C1E-ACF4-D54CD57FC5B6}"/>
  <mergeCells count="20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W1:W2"/>
    <mergeCell ref="X1:X2"/>
    <mergeCell ref="M1:M2"/>
    <mergeCell ref="N1:Q1"/>
    <mergeCell ref="R1:S1"/>
    <mergeCell ref="T1:T2"/>
    <mergeCell ref="U1:U2"/>
    <mergeCell ref="V1:V2"/>
  </mergeCells>
  <phoneticPr fontId="8" type="noConversion"/>
  <pageMargins left="0.70866141732283472" right="0.51181102362204722" top="0.55118110236220474" bottom="0.55118110236220474" header="0.31496062992125984" footer="0.31496062992125984"/>
  <pageSetup paperSize="8" scale="79" fitToHeight="0" orientation="landscape" r:id="rId1"/>
  <headerFooter>
    <oddFooter>&amp;R&amp;10PAGE &amp;P OF &amp;N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25BD-9C41-4C97-A988-289385150D59}">
  <sheetPr>
    <pageSetUpPr fitToPage="1"/>
  </sheetPr>
  <dimension ref="A1:Z37"/>
  <sheetViews>
    <sheetView view="pageBreakPreview" zoomScale="85" zoomScaleNormal="115" zoomScaleSheetLayoutView="85" workbookViewId="0">
      <pane xSplit="3" ySplit="3" topLeftCell="D4" activePane="bottomRight" state="frozen"/>
      <selection activeCell="O38" sqref="O38"/>
      <selection pane="topRight" activeCell="O38" sqref="O38"/>
      <selection pane="bottomLeft" activeCell="O38" sqref="O38"/>
      <selection pane="bottomRight" activeCell="G12" sqref="G12"/>
    </sheetView>
  </sheetViews>
  <sheetFormatPr defaultColWidth="9.08203125" defaultRowHeight="30" customHeight="1" x14ac:dyDescent="0.3"/>
  <cols>
    <col min="1" max="1" width="5.75" style="3" customWidth="1"/>
    <col min="2" max="2" width="8.33203125" style="2" customWidth="1"/>
    <col min="3" max="3" width="13" style="2" customWidth="1"/>
    <col min="4" max="4" width="12.08203125" style="3" customWidth="1"/>
    <col min="5" max="5" width="22.75" style="24" customWidth="1"/>
    <col min="6" max="6" width="14.75" style="4" customWidth="1"/>
    <col min="7" max="7" width="15.58203125" style="4" customWidth="1"/>
    <col min="8" max="8" width="9.25" style="2" customWidth="1"/>
    <col min="9" max="9" width="9.08203125" style="3"/>
    <col min="10" max="10" width="10.83203125" style="3" customWidth="1"/>
    <col min="11" max="11" width="12.33203125" style="3" customWidth="1"/>
    <col min="12" max="13" width="9.08203125" style="3"/>
    <col min="14" max="20" width="7.58203125" style="3" customWidth="1"/>
    <col min="21" max="21" width="8.58203125" style="4" customWidth="1"/>
    <col min="22" max="22" width="9.08203125" style="4"/>
    <col min="23" max="23" width="9.08203125" style="3"/>
    <col min="24" max="24" width="9.08203125" style="4"/>
    <col min="25" max="26" width="9.08203125" style="3"/>
    <col min="27" max="16384" width="9.08203125" style="4"/>
  </cols>
  <sheetData>
    <row r="1" spans="1:26" ht="20.149999999999999" customHeight="1" x14ac:dyDescent="0.3">
      <c r="A1" s="134" t="s">
        <v>0</v>
      </c>
      <c r="B1" s="134" t="s">
        <v>1</v>
      </c>
      <c r="C1" s="134" t="s">
        <v>27</v>
      </c>
      <c r="D1" s="134" t="s">
        <v>2</v>
      </c>
      <c r="E1" s="134" t="s">
        <v>3</v>
      </c>
      <c r="F1" s="134" t="s">
        <v>4</v>
      </c>
      <c r="G1" s="134" t="s">
        <v>5</v>
      </c>
      <c r="H1" s="134" t="s">
        <v>6</v>
      </c>
      <c r="I1" s="134" t="s">
        <v>7</v>
      </c>
      <c r="J1" s="134" t="s">
        <v>8</v>
      </c>
      <c r="K1" s="135" t="s">
        <v>249</v>
      </c>
      <c r="L1" s="134" t="s">
        <v>9</v>
      </c>
      <c r="M1" s="134" t="s">
        <v>10</v>
      </c>
      <c r="N1" s="137" t="s">
        <v>11</v>
      </c>
      <c r="O1" s="137"/>
      <c r="P1" s="137"/>
      <c r="Q1" s="137"/>
      <c r="R1" s="137" t="s">
        <v>12</v>
      </c>
      <c r="S1" s="137"/>
      <c r="T1" s="134" t="s">
        <v>13</v>
      </c>
      <c r="U1" s="134" t="s">
        <v>14</v>
      </c>
      <c r="V1" s="134" t="s">
        <v>15</v>
      </c>
      <c r="W1" s="134" t="s">
        <v>16</v>
      </c>
      <c r="X1" s="134" t="s">
        <v>17</v>
      </c>
    </row>
    <row r="2" spans="1:26" ht="20.149999999999999" customHeight="1" x14ac:dyDescent="0.3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6"/>
      <c r="L2" s="134"/>
      <c r="M2" s="134"/>
      <c r="N2" s="18" t="s">
        <v>18</v>
      </c>
      <c r="O2" s="18" t="s">
        <v>19</v>
      </c>
      <c r="P2" s="18" t="s">
        <v>20</v>
      </c>
      <c r="Q2" s="18" t="s">
        <v>21</v>
      </c>
      <c r="R2" s="7">
        <v>0</v>
      </c>
      <c r="S2" s="7">
        <v>1</v>
      </c>
      <c r="T2" s="134"/>
      <c r="U2" s="134"/>
      <c r="V2" s="134"/>
      <c r="W2" s="134"/>
      <c r="X2" s="134"/>
      <c r="Y2" s="3" t="s">
        <v>22</v>
      </c>
      <c r="Z2" s="3" t="s">
        <v>23</v>
      </c>
    </row>
    <row r="3" spans="1:26" ht="30" customHeight="1" x14ac:dyDescent="0.3">
      <c r="A3" s="20" t="s">
        <v>970</v>
      </c>
      <c r="B3" s="21"/>
      <c r="C3" s="21"/>
      <c r="D3" s="22"/>
      <c r="E3" s="17"/>
      <c r="F3" s="17"/>
      <c r="G3" s="17"/>
      <c r="H3" s="17"/>
      <c r="I3" s="17"/>
      <c r="J3" s="17"/>
      <c r="K3" s="17"/>
      <c r="L3" s="17"/>
      <c r="M3" s="17"/>
      <c r="N3" s="18"/>
      <c r="O3" s="18"/>
      <c r="P3" s="18"/>
      <c r="Q3" s="18"/>
      <c r="R3" s="7"/>
      <c r="S3" s="7"/>
      <c r="T3" s="17"/>
      <c r="U3" s="17"/>
      <c r="V3" s="17"/>
      <c r="W3" s="17"/>
      <c r="X3" s="17"/>
    </row>
    <row r="4" spans="1:26" ht="30" customHeight="1" x14ac:dyDescent="0.3">
      <c r="A4" s="14">
        <f>ROW()-3</f>
        <v>1</v>
      </c>
      <c r="B4" s="15" t="s">
        <v>172</v>
      </c>
      <c r="C4" s="15" t="s">
        <v>987</v>
      </c>
      <c r="D4" s="15" t="s">
        <v>971</v>
      </c>
      <c r="E4" s="19" t="s">
        <v>982</v>
      </c>
      <c r="F4" s="15" t="s">
        <v>976</v>
      </c>
      <c r="G4" s="15" t="s">
        <v>977</v>
      </c>
      <c r="H4" s="14" t="s">
        <v>172</v>
      </c>
      <c r="I4" s="14" t="s">
        <v>25</v>
      </c>
      <c r="J4" s="14" t="s">
        <v>30</v>
      </c>
      <c r="K4" s="14" t="s">
        <v>713</v>
      </c>
      <c r="L4" s="14" t="s">
        <v>163</v>
      </c>
      <c r="M4" s="14" t="s">
        <v>163</v>
      </c>
      <c r="N4" s="14"/>
      <c r="O4" s="14"/>
      <c r="P4" s="14"/>
      <c r="Q4" s="14"/>
      <c r="R4" s="14"/>
      <c r="S4" s="14"/>
      <c r="T4" s="14"/>
      <c r="U4" s="5"/>
      <c r="V4" s="5"/>
      <c r="W4" s="14"/>
      <c r="X4" s="5"/>
    </row>
    <row r="5" spans="1:26" ht="30" customHeight="1" x14ac:dyDescent="0.3">
      <c r="A5" s="14">
        <f t="shared" ref="A5:A8" si="0">ROW()-3</f>
        <v>2</v>
      </c>
      <c r="B5" s="15" t="s">
        <v>172</v>
      </c>
      <c r="C5" s="15" t="s">
        <v>988</v>
      </c>
      <c r="D5" s="15" t="s">
        <v>972</v>
      </c>
      <c r="E5" s="19" t="s">
        <v>983</v>
      </c>
      <c r="F5" s="15" t="s">
        <v>978</v>
      </c>
      <c r="G5" s="15" t="s">
        <v>977</v>
      </c>
      <c r="H5" s="14" t="s">
        <v>172</v>
      </c>
      <c r="I5" s="14" t="s">
        <v>25</v>
      </c>
      <c r="J5" s="14" t="s">
        <v>30</v>
      </c>
      <c r="K5" s="14" t="s">
        <v>713</v>
      </c>
      <c r="L5" s="14" t="s">
        <v>163</v>
      </c>
      <c r="M5" s="14" t="s">
        <v>163</v>
      </c>
      <c r="N5" s="14"/>
      <c r="O5" s="14"/>
      <c r="P5" s="14"/>
      <c r="Q5" s="14"/>
      <c r="R5" s="14"/>
      <c r="S5" s="14"/>
      <c r="T5" s="14"/>
      <c r="U5" s="5"/>
      <c r="V5" s="5"/>
      <c r="W5" s="14"/>
      <c r="X5" s="5"/>
    </row>
    <row r="6" spans="1:26" ht="30" customHeight="1" x14ac:dyDescent="0.3">
      <c r="A6" s="14">
        <f t="shared" si="0"/>
        <v>3</v>
      </c>
      <c r="B6" s="15" t="s">
        <v>172</v>
      </c>
      <c r="C6" s="15" t="s">
        <v>989</v>
      </c>
      <c r="D6" s="15" t="s">
        <v>973</v>
      </c>
      <c r="E6" s="19" t="s">
        <v>984</v>
      </c>
      <c r="F6" s="15" t="s">
        <v>979</v>
      </c>
      <c r="G6" s="15" t="s">
        <v>977</v>
      </c>
      <c r="H6" s="14" t="s">
        <v>172</v>
      </c>
      <c r="I6" s="14" t="s">
        <v>25</v>
      </c>
      <c r="J6" s="14" t="s">
        <v>30</v>
      </c>
      <c r="K6" s="14" t="s">
        <v>713</v>
      </c>
      <c r="L6" s="14" t="s">
        <v>163</v>
      </c>
      <c r="M6" s="14" t="s">
        <v>163</v>
      </c>
      <c r="N6" s="14"/>
      <c r="O6" s="14"/>
      <c r="P6" s="14"/>
      <c r="Q6" s="14"/>
      <c r="R6" s="14"/>
      <c r="S6" s="14"/>
      <c r="T6" s="14"/>
      <c r="U6" s="5"/>
      <c r="V6" s="5"/>
      <c r="W6" s="14"/>
      <c r="X6" s="5"/>
    </row>
    <row r="7" spans="1:26" s="3" customFormat="1" ht="30" customHeight="1" x14ac:dyDescent="0.3">
      <c r="A7" s="14">
        <f t="shared" si="0"/>
        <v>4</v>
      </c>
      <c r="B7" s="15" t="s">
        <v>172</v>
      </c>
      <c r="C7" s="15" t="s">
        <v>990</v>
      </c>
      <c r="D7" s="15" t="s">
        <v>974</v>
      </c>
      <c r="E7" s="19" t="s">
        <v>985</v>
      </c>
      <c r="F7" s="15" t="s">
        <v>980</v>
      </c>
      <c r="G7" s="15" t="s">
        <v>977</v>
      </c>
      <c r="H7" s="14" t="s">
        <v>172</v>
      </c>
      <c r="I7" s="14" t="s">
        <v>29</v>
      </c>
      <c r="J7" s="14" t="s">
        <v>31</v>
      </c>
      <c r="K7" s="14" t="s">
        <v>163</v>
      </c>
      <c r="L7" s="14" t="s">
        <v>163</v>
      </c>
      <c r="M7" s="14" t="s">
        <v>969</v>
      </c>
      <c r="N7" s="14"/>
      <c r="O7" s="14"/>
      <c r="P7" s="14"/>
      <c r="Q7" s="14"/>
      <c r="R7" s="14"/>
      <c r="S7" s="14"/>
      <c r="T7" s="14"/>
      <c r="U7" s="5"/>
      <c r="V7" s="5"/>
      <c r="W7" s="14"/>
      <c r="X7" s="5"/>
    </row>
    <row r="8" spans="1:26" s="3" customFormat="1" ht="30" customHeight="1" x14ac:dyDescent="0.3">
      <c r="A8" s="14">
        <f t="shared" si="0"/>
        <v>5</v>
      </c>
      <c r="B8" s="15" t="s">
        <v>172</v>
      </c>
      <c r="C8" s="15" t="s">
        <v>991</v>
      </c>
      <c r="D8" s="15" t="s">
        <v>975</v>
      </c>
      <c r="E8" s="19" t="s">
        <v>986</v>
      </c>
      <c r="F8" s="15" t="s">
        <v>981</v>
      </c>
      <c r="G8" s="15" t="s">
        <v>977</v>
      </c>
      <c r="H8" s="14" t="s">
        <v>172</v>
      </c>
      <c r="I8" s="14" t="s">
        <v>29</v>
      </c>
      <c r="J8" s="14" t="s">
        <v>31</v>
      </c>
      <c r="K8" s="14" t="s">
        <v>163</v>
      </c>
      <c r="L8" s="14" t="s">
        <v>163</v>
      </c>
      <c r="M8" s="14" t="s">
        <v>969</v>
      </c>
      <c r="N8" s="14"/>
      <c r="O8" s="14"/>
      <c r="P8" s="14"/>
      <c r="Q8" s="14"/>
      <c r="R8" s="14"/>
      <c r="S8" s="14"/>
      <c r="T8" s="14"/>
      <c r="U8" s="5"/>
      <c r="V8" s="5"/>
      <c r="W8" s="14"/>
      <c r="X8" s="5"/>
    </row>
    <row r="9" spans="1:26" s="3" customFormat="1" ht="30" customHeight="1" x14ac:dyDescent="0.3">
      <c r="A9" s="14"/>
      <c r="B9" s="15"/>
      <c r="C9" s="15"/>
      <c r="D9" s="15"/>
      <c r="E9" s="19"/>
      <c r="F9" s="19"/>
      <c r="G9" s="19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5"/>
      <c r="V9" s="5"/>
      <c r="W9" s="14"/>
      <c r="X9" s="5"/>
    </row>
    <row r="10" spans="1:26" s="3" customFormat="1" ht="30" customHeight="1" x14ac:dyDescent="0.3">
      <c r="B10" s="2"/>
      <c r="C10" s="2"/>
      <c r="E10" s="4"/>
      <c r="F10" s="4"/>
      <c r="G10" s="2"/>
      <c r="H10" s="4"/>
      <c r="U10" s="4"/>
      <c r="V10" s="4"/>
      <c r="X10" s="4"/>
    </row>
    <row r="11" spans="1:26" s="3" customFormat="1" ht="30" customHeight="1" x14ac:dyDescent="0.3">
      <c r="B11" s="2"/>
      <c r="C11" s="2"/>
      <c r="E11" s="4"/>
      <c r="F11" s="4"/>
      <c r="G11" s="2"/>
      <c r="H11" s="4"/>
      <c r="U11" s="4"/>
      <c r="V11" s="4"/>
      <c r="X11" s="4"/>
    </row>
    <row r="12" spans="1:26" s="3" customFormat="1" ht="30" customHeight="1" x14ac:dyDescent="0.3">
      <c r="B12" s="2"/>
      <c r="C12" s="2"/>
      <c r="E12" s="4"/>
      <c r="F12" s="4"/>
      <c r="G12" s="2"/>
      <c r="H12" s="4"/>
      <c r="U12" s="4"/>
      <c r="V12" s="4"/>
      <c r="X12" s="4"/>
    </row>
    <row r="13" spans="1:26" s="3" customFormat="1" ht="30" customHeight="1" x14ac:dyDescent="0.3">
      <c r="B13" s="2"/>
      <c r="C13" s="2"/>
      <c r="E13" s="4"/>
      <c r="F13" s="4"/>
      <c r="G13" s="2"/>
      <c r="H13" s="4"/>
      <c r="U13" s="4"/>
      <c r="V13" s="4"/>
      <c r="X13" s="4"/>
    </row>
    <row r="14" spans="1:26" s="3" customFormat="1" ht="30" customHeight="1" x14ac:dyDescent="0.3">
      <c r="B14" s="2"/>
      <c r="C14" s="2"/>
      <c r="E14" s="4"/>
      <c r="F14" s="4"/>
      <c r="G14" s="2"/>
      <c r="H14" s="4"/>
      <c r="U14" s="4"/>
      <c r="V14" s="4"/>
      <c r="X14" s="4"/>
    </row>
    <row r="15" spans="1:26" s="3" customFormat="1" ht="30" customHeight="1" x14ac:dyDescent="0.3">
      <c r="B15" s="2"/>
      <c r="C15" s="2"/>
      <c r="E15" s="4"/>
      <c r="F15" s="4"/>
      <c r="G15" s="2"/>
      <c r="H15" s="4"/>
      <c r="U15" s="4"/>
      <c r="V15" s="4"/>
      <c r="X15" s="4"/>
    </row>
    <row r="16" spans="1:26" s="3" customFormat="1" ht="30" customHeight="1" x14ac:dyDescent="0.3">
      <c r="B16" s="2"/>
      <c r="C16" s="2"/>
      <c r="E16" s="4"/>
      <c r="F16" s="4"/>
      <c r="G16" s="2"/>
      <c r="H16" s="4"/>
      <c r="U16" s="4"/>
      <c r="V16" s="4"/>
      <c r="X16" s="4"/>
    </row>
    <row r="17" spans="2:24" s="3" customFormat="1" ht="30" customHeight="1" x14ac:dyDescent="0.3">
      <c r="B17" s="2"/>
      <c r="C17" s="2"/>
      <c r="E17" s="4"/>
      <c r="F17" s="4"/>
      <c r="G17" s="2"/>
      <c r="H17" s="4"/>
      <c r="U17" s="4"/>
      <c r="V17" s="4"/>
      <c r="X17" s="4"/>
    </row>
    <row r="18" spans="2:24" s="3" customFormat="1" ht="30" customHeight="1" x14ac:dyDescent="0.3">
      <c r="B18" s="2"/>
      <c r="C18" s="2"/>
      <c r="E18" s="4"/>
      <c r="F18" s="4"/>
      <c r="G18" s="2"/>
      <c r="H18" s="4"/>
      <c r="U18" s="4"/>
      <c r="V18" s="4"/>
      <c r="X18" s="4"/>
    </row>
    <row r="19" spans="2:24" s="3" customFormat="1" ht="30" customHeight="1" x14ac:dyDescent="0.3">
      <c r="B19" s="2"/>
      <c r="C19" s="2"/>
      <c r="E19" s="4"/>
      <c r="F19" s="4"/>
      <c r="G19" s="2"/>
      <c r="H19" s="4"/>
      <c r="U19" s="4"/>
      <c r="V19" s="4"/>
      <c r="X19" s="4"/>
    </row>
    <row r="20" spans="2:24" s="3" customFormat="1" ht="30" customHeight="1" x14ac:dyDescent="0.3">
      <c r="B20" s="2"/>
      <c r="C20" s="2"/>
      <c r="E20" s="4"/>
      <c r="F20" s="4"/>
      <c r="G20" s="2"/>
      <c r="H20" s="4"/>
      <c r="U20" s="4"/>
      <c r="V20" s="4"/>
      <c r="X20" s="4"/>
    </row>
    <row r="21" spans="2:24" s="3" customFormat="1" ht="30" customHeight="1" x14ac:dyDescent="0.3">
      <c r="B21" s="2"/>
      <c r="C21" s="2"/>
      <c r="E21" s="4"/>
      <c r="F21" s="4"/>
      <c r="G21" s="2"/>
      <c r="H21" s="4"/>
      <c r="U21" s="4"/>
      <c r="V21" s="4"/>
      <c r="X21" s="4"/>
    </row>
    <row r="22" spans="2:24" s="3" customFormat="1" ht="30" customHeight="1" x14ac:dyDescent="0.3">
      <c r="B22" s="2"/>
      <c r="C22" s="2"/>
      <c r="E22" s="4"/>
      <c r="F22" s="4"/>
      <c r="G22" s="2"/>
      <c r="H22" s="4"/>
      <c r="U22" s="4"/>
      <c r="V22" s="4"/>
      <c r="X22" s="4"/>
    </row>
    <row r="23" spans="2:24" s="3" customFormat="1" ht="30" customHeight="1" x14ac:dyDescent="0.3">
      <c r="B23" s="2"/>
      <c r="C23" s="2"/>
      <c r="E23" s="4"/>
      <c r="F23" s="4"/>
      <c r="G23" s="2"/>
      <c r="H23" s="4"/>
      <c r="U23" s="4"/>
      <c r="V23" s="4"/>
      <c r="X23" s="4"/>
    </row>
    <row r="24" spans="2:24" s="3" customFormat="1" ht="30" customHeight="1" x14ac:dyDescent="0.3">
      <c r="B24" s="2"/>
      <c r="C24" s="2"/>
      <c r="E24" s="4"/>
      <c r="F24" s="4"/>
      <c r="G24" s="2"/>
      <c r="H24" s="4"/>
      <c r="U24" s="4"/>
      <c r="V24" s="4"/>
      <c r="X24" s="4"/>
    </row>
    <row r="25" spans="2:24" s="3" customFormat="1" ht="30" customHeight="1" x14ac:dyDescent="0.3">
      <c r="B25" s="2"/>
      <c r="C25" s="2"/>
      <c r="E25" s="4"/>
      <c r="F25" s="4"/>
      <c r="G25" s="2"/>
      <c r="H25" s="4"/>
      <c r="U25" s="4"/>
      <c r="V25" s="4"/>
      <c r="X25" s="4"/>
    </row>
    <row r="26" spans="2:24" s="3" customFormat="1" ht="30" customHeight="1" x14ac:dyDescent="0.3">
      <c r="B26" s="2"/>
      <c r="C26" s="2"/>
      <c r="E26" s="4"/>
      <c r="F26" s="4"/>
      <c r="G26" s="2"/>
      <c r="H26" s="4"/>
      <c r="U26" s="4"/>
      <c r="V26" s="4"/>
      <c r="X26" s="4"/>
    </row>
    <row r="27" spans="2:24" s="3" customFormat="1" ht="30" customHeight="1" x14ac:dyDescent="0.3">
      <c r="B27" s="2"/>
      <c r="C27" s="2"/>
      <c r="E27" s="4"/>
      <c r="F27" s="4"/>
      <c r="G27" s="2"/>
      <c r="H27" s="4"/>
      <c r="U27" s="4"/>
      <c r="V27" s="4"/>
      <c r="X27" s="4"/>
    </row>
    <row r="28" spans="2:24" s="3" customFormat="1" ht="30" customHeight="1" x14ac:dyDescent="0.3">
      <c r="B28" s="2"/>
      <c r="C28" s="2"/>
      <c r="E28" s="4"/>
      <c r="F28" s="4"/>
      <c r="G28" s="2"/>
      <c r="H28" s="4"/>
      <c r="U28" s="4"/>
      <c r="V28" s="4"/>
      <c r="X28" s="4"/>
    </row>
    <row r="29" spans="2:24" s="3" customFormat="1" ht="30" customHeight="1" x14ac:dyDescent="0.3">
      <c r="B29" s="2"/>
      <c r="C29" s="2"/>
      <c r="E29" s="4"/>
      <c r="F29" s="4"/>
      <c r="G29" s="2"/>
      <c r="H29" s="4"/>
      <c r="U29" s="4"/>
      <c r="V29" s="4"/>
      <c r="X29" s="4"/>
    </row>
    <row r="30" spans="2:24" s="3" customFormat="1" ht="30" customHeight="1" x14ac:dyDescent="0.3">
      <c r="B30" s="2"/>
      <c r="C30" s="2"/>
      <c r="E30" s="4"/>
      <c r="F30" s="4"/>
      <c r="G30" s="2"/>
      <c r="H30" s="4"/>
      <c r="U30" s="4"/>
      <c r="V30" s="4"/>
      <c r="X30" s="4"/>
    </row>
    <row r="31" spans="2:24" s="3" customFormat="1" ht="30" customHeight="1" x14ac:dyDescent="0.3">
      <c r="B31" s="2"/>
      <c r="C31" s="2"/>
      <c r="E31" s="4"/>
      <c r="F31" s="4"/>
      <c r="G31" s="2"/>
      <c r="H31" s="4"/>
      <c r="U31" s="4"/>
      <c r="V31" s="4"/>
      <c r="X31" s="4"/>
    </row>
    <row r="32" spans="2:24" s="3" customFormat="1" ht="30" customHeight="1" x14ac:dyDescent="0.3">
      <c r="B32" s="2"/>
      <c r="C32" s="2"/>
      <c r="E32" s="4"/>
      <c r="F32" s="4"/>
      <c r="G32" s="4"/>
      <c r="H32" s="2"/>
      <c r="U32" s="4"/>
      <c r="V32" s="4"/>
      <c r="X32" s="4"/>
    </row>
    <row r="33" spans="2:24" s="3" customFormat="1" ht="30" customHeight="1" x14ac:dyDescent="0.3">
      <c r="B33" s="2"/>
      <c r="C33" s="2"/>
      <c r="E33" s="4"/>
      <c r="F33" s="4"/>
      <c r="G33" s="4"/>
      <c r="H33" s="2"/>
      <c r="U33" s="4"/>
      <c r="V33" s="4"/>
      <c r="X33" s="4"/>
    </row>
    <row r="34" spans="2:24" s="3" customFormat="1" ht="30" customHeight="1" x14ac:dyDescent="0.3">
      <c r="B34" s="2"/>
      <c r="C34" s="2"/>
      <c r="E34" s="4"/>
      <c r="F34" s="4"/>
      <c r="G34" s="4"/>
      <c r="H34" s="2"/>
      <c r="U34" s="4"/>
      <c r="V34" s="4"/>
      <c r="X34" s="4"/>
    </row>
    <row r="35" spans="2:24" s="3" customFormat="1" ht="30" customHeight="1" x14ac:dyDescent="0.3">
      <c r="B35" s="2"/>
      <c r="C35" s="2"/>
      <c r="E35" s="4"/>
      <c r="F35" s="4"/>
      <c r="G35" s="4"/>
      <c r="H35" s="2"/>
      <c r="U35" s="4"/>
      <c r="V35" s="4"/>
      <c r="X35" s="4"/>
    </row>
    <row r="36" spans="2:24" s="3" customFormat="1" ht="30" customHeight="1" x14ac:dyDescent="0.3">
      <c r="B36" s="2"/>
      <c r="C36" s="2"/>
      <c r="E36" s="4"/>
      <c r="F36" s="4"/>
      <c r="G36" s="4"/>
      <c r="H36" s="2"/>
      <c r="U36" s="4"/>
      <c r="V36" s="4"/>
      <c r="X36" s="4"/>
    </row>
    <row r="37" spans="2:24" s="3" customFormat="1" ht="30" customHeight="1" x14ac:dyDescent="0.3">
      <c r="B37" s="2"/>
      <c r="C37" s="2"/>
      <c r="E37" s="4"/>
      <c r="F37" s="4"/>
      <c r="G37" s="4"/>
      <c r="H37" s="2"/>
      <c r="U37" s="4"/>
      <c r="V37" s="4"/>
      <c r="X37" s="4"/>
    </row>
  </sheetData>
  <autoFilter ref="A3:Z37" xr:uid="{F56D1C5C-316D-4C1E-ACF4-D54CD57FC5B6}"/>
  <mergeCells count="20">
    <mergeCell ref="W1:W2"/>
    <mergeCell ref="X1:X2"/>
    <mergeCell ref="M1:M2"/>
    <mergeCell ref="N1:Q1"/>
    <mergeCell ref="R1:S1"/>
    <mergeCell ref="T1:T2"/>
    <mergeCell ref="U1:U2"/>
    <mergeCell ref="V1:V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honeticPr fontId="8" type="noConversion"/>
  <pageMargins left="0.70866141732283472" right="0.51181102362204722" top="0.55118110236220474" bottom="0.55118110236220474" header="0.31496062992125984" footer="0.31496062992125984"/>
  <pageSetup paperSize="8" scale="79" fitToHeight="0" orientation="landscape" r:id="rId1"/>
  <headerFooter>
    <oddFooter>&amp;R&amp;10PAGE &amp;P OF &amp;N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6C03-0526-42EF-A129-915B3C952184}">
  <sheetPr>
    <pageSetUpPr fitToPage="1"/>
  </sheetPr>
  <dimension ref="A1:Z58"/>
  <sheetViews>
    <sheetView view="pageBreakPreview" zoomScale="85" zoomScaleNormal="115" zoomScaleSheetLayoutView="85" workbookViewId="0">
      <pane xSplit="3" ySplit="3" topLeftCell="D4" activePane="bottomRight" state="frozen"/>
      <selection activeCell="O38" sqref="O38"/>
      <selection pane="topRight" activeCell="O38" sqref="O38"/>
      <selection pane="bottomLeft" activeCell="O38" sqref="O38"/>
      <selection pane="bottomRight" activeCell="A18" sqref="A18:XFD21"/>
    </sheetView>
  </sheetViews>
  <sheetFormatPr defaultColWidth="9.08203125" defaultRowHeight="30" customHeight="1" x14ac:dyDescent="0.3"/>
  <cols>
    <col min="1" max="1" width="5.75" style="3" customWidth="1"/>
    <col min="2" max="2" width="8.33203125" style="2" customWidth="1"/>
    <col min="3" max="3" width="13" style="2" customWidth="1"/>
    <col min="4" max="4" width="12.58203125" style="3" customWidth="1"/>
    <col min="5" max="5" width="23.08203125" style="24" customWidth="1"/>
    <col min="6" max="6" width="14.75" style="4" customWidth="1"/>
    <col min="7" max="7" width="15.58203125" style="4" customWidth="1"/>
    <col min="8" max="8" width="9.25" style="2" customWidth="1"/>
    <col min="9" max="9" width="9.08203125" style="3"/>
    <col min="10" max="10" width="10.83203125" style="3" customWidth="1"/>
    <col min="11" max="11" width="12.33203125" style="3" customWidth="1"/>
    <col min="12" max="13" width="9.08203125" style="3"/>
    <col min="14" max="20" width="7.58203125" style="3" customWidth="1"/>
    <col min="21" max="21" width="8.58203125" style="4" customWidth="1"/>
    <col min="22" max="22" width="9.08203125" style="4"/>
    <col min="23" max="23" width="9.08203125" style="3"/>
    <col min="24" max="24" width="9.08203125" style="4"/>
    <col min="25" max="26" width="9.08203125" style="3"/>
    <col min="27" max="16384" width="9.08203125" style="4"/>
  </cols>
  <sheetData>
    <row r="1" spans="1:26" ht="20.149999999999999" customHeight="1" x14ac:dyDescent="0.3">
      <c r="A1" s="134" t="s">
        <v>0</v>
      </c>
      <c r="B1" s="134" t="s">
        <v>1</v>
      </c>
      <c r="C1" s="134" t="s">
        <v>27</v>
      </c>
      <c r="D1" s="134" t="s">
        <v>2</v>
      </c>
      <c r="E1" s="134" t="s">
        <v>3</v>
      </c>
      <c r="F1" s="134" t="s">
        <v>4</v>
      </c>
      <c r="G1" s="134" t="s">
        <v>5</v>
      </c>
      <c r="H1" s="134" t="s">
        <v>6</v>
      </c>
      <c r="I1" s="134" t="s">
        <v>7</v>
      </c>
      <c r="J1" s="134" t="s">
        <v>8</v>
      </c>
      <c r="K1" s="135" t="s">
        <v>249</v>
      </c>
      <c r="L1" s="134" t="s">
        <v>9</v>
      </c>
      <c r="M1" s="134" t="s">
        <v>10</v>
      </c>
      <c r="N1" s="137" t="s">
        <v>11</v>
      </c>
      <c r="O1" s="137"/>
      <c r="P1" s="137"/>
      <c r="Q1" s="137"/>
      <c r="R1" s="137" t="s">
        <v>12</v>
      </c>
      <c r="S1" s="137"/>
      <c r="T1" s="134" t="s">
        <v>13</v>
      </c>
      <c r="U1" s="134" t="s">
        <v>14</v>
      </c>
      <c r="V1" s="134" t="s">
        <v>15</v>
      </c>
      <c r="W1" s="134" t="s">
        <v>16</v>
      </c>
      <c r="X1" s="134" t="s">
        <v>17</v>
      </c>
    </row>
    <row r="2" spans="1:26" ht="20.149999999999999" customHeight="1" x14ac:dyDescent="0.3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6"/>
      <c r="L2" s="134"/>
      <c r="M2" s="134"/>
      <c r="N2" s="18" t="s">
        <v>18</v>
      </c>
      <c r="O2" s="18" t="s">
        <v>19</v>
      </c>
      <c r="P2" s="18" t="s">
        <v>20</v>
      </c>
      <c r="Q2" s="18" t="s">
        <v>21</v>
      </c>
      <c r="R2" s="7">
        <v>0</v>
      </c>
      <c r="S2" s="7">
        <v>1</v>
      </c>
      <c r="T2" s="134"/>
      <c r="U2" s="134"/>
      <c r="V2" s="134"/>
      <c r="W2" s="134"/>
      <c r="X2" s="134"/>
      <c r="Y2" s="3" t="s">
        <v>22</v>
      </c>
      <c r="Z2" s="3" t="s">
        <v>23</v>
      </c>
    </row>
    <row r="3" spans="1:26" ht="30" customHeight="1" x14ac:dyDescent="0.3">
      <c r="A3" s="20" t="s">
        <v>1202</v>
      </c>
      <c r="B3" s="21"/>
      <c r="C3" s="21"/>
      <c r="D3" s="22"/>
      <c r="E3" s="17"/>
      <c r="F3" s="17"/>
      <c r="G3" s="17"/>
      <c r="H3" s="17"/>
      <c r="I3" s="17"/>
      <c r="J3" s="17"/>
      <c r="K3" s="17"/>
      <c r="L3" s="17"/>
      <c r="M3" s="17"/>
      <c r="N3" s="18"/>
      <c r="O3" s="18"/>
      <c r="P3" s="18"/>
      <c r="Q3" s="18"/>
      <c r="R3" s="7"/>
      <c r="S3" s="7"/>
      <c r="T3" s="17"/>
      <c r="U3" s="17"/>
      <c r="V3" s="17"/>
      <c r="W3" s="17"/>
      <c r="X3" s="17"/>
    </row>
    <row r="4" spans="1:26" ht="30" customHeight="1" x14ac:dyDescent="0.3">
      <c r="A4" s="14">
        <f t="shared" ref="A4:A29" si="0">ROW()-3</f>
        <v>1</v>
      </c>
      <c r="B4" s="15" t="s">
        <v>172</v>
      </c>
      <c r="C4" s="15" t="s">
        <v>996</v>
      </c>
      <c r="D4" s="15" t="s">
        <v>992</v>
      </c>
      <c r="E4" s="19" t="s">
        <v>1002</v>
      </c>
      <c r="F4" s="15" t="s">
        <v>1000</v>
      </c>
      <c r="G4" s="15" t="s">
        <v>1001</v>
      </c>
      <c r="H4" s="14" t="s">
        <v>172</v>
      </c>
      <c r="I4" s="14" t="s">
        <v>25</v>
      </c>
      <c r="J4" s="14" t="s">
        <v>30</v>
      </c>
      <c r="K4" s="14" t="s">
        <v>713</v>
      </c>
      <c r="L4" s="14" t="s">
        <v>163</v>
      </c>
      <c r="M4" s="14" t="s">
        <v>163</v>
      </c>
      <c r="N4" s="14"/>
      <c r="O4" s="14"/>
      <c r="P4" s="14"/>
      <c r="Q4" s="14"/>
      <c r="R4" s="14"/>
      <c r="S4" s="14"/>
      <c r="T4" s="14"/>
      <c r="U4" s="5"/>
      <c r="V4" s="5"/>
      <c r="W4" s="14"/>
      <c r="X4" s="5"/>
    </row>
    <row r="5" spans="1:26" ht="30" customHeight="1" x14ac:dyDescent="0.3">
      <c r="A5" s="14">
        <f t="shared" si="0"/>
        <v>2</v>
      </c>
      <c r="B5" s="15" t="s">
        <v>172</v>
      </c>
      <c r="C5" s="15" t="s">
        <v>997</v>
      </c>
      <c r="D5" s="15" t="s">
        <v>993</v>
      </c>
      <c r="E5" s="19" t="s">
        <v>1012</v>
      </c>
      <c r="F5" s="15" t="s">
        <v>1003</v>
      </c>
      <c r="G5" s="15" t="s">
        <v>1001</v>
      </c>
      <c r="H5" s="14" t="s">
        <v>172</v>
      </c>
      <c r="I5" s="14" t="s">
        <v>25</v>
      </c>
      <c r="J5" s="14" t="s">
        <v>30</v>
      </c>
      <c r="K5" s="14" t="s">
        <v>713</v>
      </c>
      <c r="L5" s="14" t="s">
        <v>163</v>
      </c>
      <c r="M5" s="14" t="s">
        <v>163</v>
      </c>
      <c r="N5" s="14"/>
      <c r="O5" s="14"/>
      <c r="P5" s="14"/>
      <c r="Q5" s="14"/>
      <c r="R5" s="14"/>
      <c r="S5" s="14"/>
      <c r="T5" s="14"/>
      <c r="U5" s="5"/>
      <c r="V5" s="5"/>
      <c r="W5" s="14"/>
      <c r="X5" s="5"/>
    </row>
    <row r="6" spans="1:26" s="3" customFormat="1" ht="30" customHeight="1" x14ac:dyDescent="0.3">
      <c r="A6" s="14">
        <f t="shared" si="0"/>
        <v>3</v>
      </c>
      <c r="B6" s="15" t="s">
        <v>172</v>
      </c>
      <c r="C6" s="15" t="s">
        <v>998</v>
      </c>
      <c r="D6" s="15" t="s">
        <v>994</v>
      </c>
      <c r="E6" s="19" t="s">
        <v>1004</v>
      </c>
      <c r="F6" s="15" t="s">
        <v>1003</v>
      </c>
      <c r="G6" s="15" t="s">
        <v>1001</v>
      </c>
      <c r="H6" s="14" t="s">
        <v>172</v>
      </c>
      <c r="I6" s="14" t="s">
        <v>25</v>
      </c>
      <c r="J6" s="14" t="s">
        <v>30</v>
      </c>
      <c r="K6" s="14" t="s">
        <v>713</v>
      </c>
      <c r="L6" s="14" t="s">
        <v>163</v>
      </c>
      <c r="M6" s="14" t="s">
        <v>163</v>
      </c>
      <c r="N6" s="14"/>
      <c r="O6" s="14"/>
      <c r="P6" s="14"/>
      <c r="Q6" s="14"/>
      <c r="R6" s="14"/>
      <c r="S6" s="14"/>
      <c r="T6" s="14"/>
      <c r="U6" s="5"/>
      <c r="V6" s="5"/>
      <c r="W6" s="14"/>
      <c r="X6" s="5"/>
    </row>
    <row r="7" spans="1:26" s="3" customFormat="1" ht="30" customHeight="1" x14ac:dyDescent="0.3">
      <c r="A7" s="14">
        <f t="shared" si="0"/>
        <v>4</v>
      </c>
      <c r="B7" s="15" t="s">
        <v>172</v>
      </c>
      <c r="C7" s="15" t="s">
        <v>999</v>
      </c>
      <c r="D7" s="15" t="s">
        <v>995</v>
      </c>
      <c r="E7" s="19" t="s">
        <v>1005</v>
      </c>
      <c r="F7" s="15" t="s">
        <v>1003</v>
      </c>
      <c r="G7" s="15" t="s">
        <v>1001</v>
      </c>
      <c r="H7" s="14" t="s">
        <v>172</v>
      </c>
      <c r="I7" s="14" t="s">
        <v>25</v>
      </c>
      <c r="J7" s="14" t="s">
        <v>30</v>
      </c>
      <c r="K7" s="14" t="s">
        <v>713</v>
      </c>
      <c r="L7" s="14" t="s">
        <v>163</v>
      </c>
      <c r="M7" s="14" t="s">
        <v>163</v>
      </c>
      <c r="N7" s="14"/>
      <c r="O7" s="14"/>
      <c r="P7" s="14"/>
      <c r="Q7" s="14"/>
      <c r="R7" s="14"/>
      <c r="S7" s="14"/>
      <c r="T7" s="14"/>
      <c r="U7" s="5"/>
      <c r="V7" s="5"/>
      <c r="W7" s="14"/>
      <c r="X7" s="5"/>
    </row>
    <row r="8" spans="1:26" s="3" customFormat="1" ht="30" customHeight="1" x14ac:dyDescent="0.3">
      <c r="A8" s="14">
        <f t="shared" si="0"/>
        <v>5</v>
      </c>
      <c r="B8" s="15" t="s">
        <v>172</v>
      </c>
      <c r="C8" s="15"/>
      <c r="D8" s="15" t="s">
        <v>1007</v>
      </c>
      <c r="E8" s="19" t="s">
        <v>1009</v>
      </c>
      <c r="F8" s="15" t="s">
        <v>1006</v>
      </c>
      <c r="G8" s="15" t="s">
        <v>1001</v>
      </c>
      <c r="H8" s="14" t="s">
        <v>172</v>
      </c>
      <c r="I8" s="14" t="s">
        <v>29</v>
      </c>
      <c r="J8" s="14" t="s">
        <v>31</v>
      </c>
      <c r="K8" s="14" t="s">
        <v>163</v>
      </c>
      <c r="L8" s="14" t="s">
        <v>163</v>
      </c>
      <c r="M8" s="14" t="s">
        <v>969</v>
      </c>
      <c r="N8" s="14"/>
      <c r="O8" s="14"/>
      <c r="P8" s="14"/>
      <c r="Q8" s="14"/>
      <c r="R8" s="14"/>
      <c r="S8" s="14"/>
      <c r="T8" s="14"/>
      <c r="U8" s="5"/>
      <c r="V8" s="5"/>
      <c r="W8" s="14"/>
      <c r="X8" s="5"/>
    </row>
    <row r="9" spans="1:26" s="3" customFormat="1" ht="30" customHeight="1" x14ac:dyDescent="0.3">
      <c r="A9" s="14">
        <f t="shared" si="0"/>
        <v>6</v>
      </c>
      <c r="B9" s="15" t="s">
        <v>172</v>
      </c>
      <c r="C9" s="15"/>
      <c r="D9" s="15" t="s">
        <v>1008</v>
      </c>
      <c r="E9" s="19" t="s">
        <v>1010</v>
      </c>
      <c r="F9" s="15" t="s">
        <v>1006</v>
      </c>
      <c r="G9" s="15" t="s">
        <v>1001</v>
      </c>
      <c r="H9" s="14" t="s">
        <v>172</v>
      </c>
      <c r="I9" s="14" t="s">
        <v>29</v>
      </c>
      <c r="J9" s="14" t="s">
        <v>31</v>
      </c>
      <c r="K9" s="14" t="s">
        <v>163</v>
      </c>
      <c r="L9" s="14" t="s">
        <v>163</v>
      </c>
      <c r="M9" s="14" t="s">
        <v>1011</v>
      </c>
      <c r="N9" s="14"/>
      <c r="O9" s="14"/>
      <c r="P9" s="14"/>
      <c r="Q9" s="14"/>
      <c r="R9" s="14"/>
      <c r="S9" s="14"/>
      <c r="T9" s="14"/>
      <c r="U9" s="5"/>
      <c r="V9" s="5"/>
      <c r="W9" s="14"/>
      <c r="X9" s="5"/>
    </row>
    <row r="10" spans="1:26" s="3" customFormat="1" ht="30" customHeight="1" x14ac:dyDescent="0.3">
      <c r="A10" s="14">
        <f t="shared" si="0"/>
        <v>7</v>
      </c>
      <c r="B10" s="15" t="s">
        <v>172</v>
      </c>
      <c r="C10" s="15"/>
      <c r="D10" s="15" t="s">
        <v>1120</v>
      </c>
      <c r="E10" s="19" t="s">
        <v>1069</v>
      </c>
      <c r="F10" s="15" t="s">
        <v>1116</v>
      </c>
      <c r="G10" s="15" t="s">
        <v>1001</v>
      </c>
      <c r="H10" s="14" t="s">
        <v>171</v>
      </c>
      <c r="I10" s="14" t="s">
        <v>29</v>
      </c>
      <c r="J10" s="14" t="s">
        <v>31</v>
      </c>
      <c r="K10" s="14" t="s">
        <v>163</v>
      </c>
      <c r="L10" s="14" t="s">
        <v>163</v>
      </c>
      <c r="M10" s="14" t="s">
        <v>1051</v>
      </c>
      <c r="N10" s="14"/>
      <c r="O10" s="14"/>
      <c r="P10" s="14"/>
      <c r="Q10" s="14"/>
      <c r="R10" s="14"/>
      <c r="S10" s="14"/>
      <c r="T10" s="14"/>
      <c r="U10" s="5"/>
      <c r="V10" s="5"/>
      <c r="W10" s="14"/>
      <c r="X10" s="5"/>
    </row>
    <row r="11" spans="1:26" s="3" customFormat="1" ht="30" customHeight="1" x14ac:dyDescent="0.3">
      <c r="A11" s="14">
        <f t="shared" si="0"/>
        <v>8</v>
      </c>
      <c r="B11" s="15" t="s">
        <v>172</v>
      </c>
      <c r="C11" s="15"/>
      <c r="D11" s="15" t="s">
        <v>1120</v>
      </c>
      <c r="E11" s="19" t="s">
        <v>1070</v>
      </c>
      <c r="F11" s="15" t="s">
        <v>1116</v>
      </c>
      <c r="G11" s="15" t="s">
        <v>1001</v>
      </c>
      <c r="H11" s="14" t="s">
        <v>171</v>
      </c>
      <c r="I11" s="14" t="s">
        <v>29</v>
      </c>
      <c r="J11" s="14" t="s">
        <v>31</v>
      </c>
      <c r="K11" s="14" t="s">
        <v>163</v>
      </c>
      <c r="L11" s="14" t="s">
        <v>163</v>
      </c>
      <c r="M11" s="14" t="s">
        <v>1073</v>
      </c>
      <c r="N11" s="14"/>
      <c r="O11" s="14"/>
      <c r="P11" s="14"/>
      <c r="Q11" s="14"/>
      <c r="R11" s="14"/>
      <c r="S11" s="14"/>
      <c r="T11" s="14"/>
      <c r="U11" s="5"/>
      <c r="V11" s="5"/>
      <c r="W11" s="14"/>
      <c r="X11" s="5"/>
    </row>
    <row r="12" spans="1:26" s="3" customFormat="1" ht="30" customHeight="1" x14ac:dyDescent="0.3">
      <c r="A12" s="14">
        <f t="shared" si="0"/>
        <v>9</v>
      </c>
      <c r="B12" s="15" t="s">
        <v>172</v>
      </c>
      <c r="C12" s="15"/>
      <c r="D12" s="15" t="s">
        <v>1120</v>
      </c>
      <c r="E12" s="19" t="s">
        <v>1071</v>
      </c>
      <c r="F12" s="15" t="s">
        <v>1116</v>
      </c>
      <c r="G12" s="15" t="s">
        <v>1001</v>
      </c>
      <c r="H12" s="14" t="s">
        <v>171</v>
      </c>
      <c r="I12" s="14" t="s">
        <v>29</v>
      </c>
      <c r="J12" s="14" t="s">
        <v>31</v>
      </c>
      <c r="K12" s="14" t="s">
        <v>163</v>
      </c>
      <c r="L12" s="14" t="s">
        <v>163</v>
      </c>
      <c r="M12" s="14" t="s">
        <v>1074</v>
      </c>
      <c r="N12" s="14"/>
      <c r="O12" s="14"/>
      <c r="P12" s="14"/>
      <c r="Q12" s="14"/>
      <c r="R12" s="14"/>
      <c r="S12" s="14"/>
      <c r="T12" s="14"/>
      <c r="U12" s="5"/>
      <c r="V12" s="5"/>
      <c r="W12" s="14"/>
      <c r="X12" s="5"/>
    </row>
    <row r="13" spans="1:26" s="3" customFormat="1" ht="30" customHeight="1" x14ac:dyDescent="0.3">
      <c r="A13" s="14">
        <f t="shared" si="0"/>
        <v>10</v>
      </c>
      <c r="B13" s="15" t="s">
        <v>172</v>
      </c>
      <c r="C13" s="15"/>
      <c r="D13" s="15" t="s">
        <v>1120</v>
      </c>
      <c r="E13" s="19" t="s">
        <v>1072</v>
      </c>
      <c r="F13" s="15" t="s">
        <v>1116</v>
      </c>
      <c r="G13" s="15" t="s">
        <v>1001</v>
      </c>
      <c r="H13" s="14" t="s">
        <v>171</v>
      </c>
      <c r="I13" s="14" t="s">
        <v>29</v>
      </c>
      <c r="J13" s="14" t="s">
        <v>31</v>
      </c>
      <c r="K13" s="14" t="s">
        <v>163</v>
      </c>
      <c r="L13" s="14" t="s">
        <v>245</v>
      </c>
      <c r="M13" s="14" t="s">
        <v>1063</v>
      </c>
      <c r="N13" s="14"/>
      <c r="O13" s="14"/>
      <c r="P13" s="14"/>
      <c r="Q13" s="14"/>
      <c r="R13" s="14"/>
      <c r="S13" s="14"/>
      <c r="T13" s="14"/>
      <c r="U13" s="5"/>
      <c r="V13" s="5"/>
      <c r="W13" s="14"/>
      <c r="X13" s="5"/>
    </row>
    <row r="14" spans="1:26" s="3" customFormat="1" ht="30" customHeight="1" x14ac:dyDescent="0.3">
      <c r="A14" s="14">
        <f t="shared" si="0"/>
        <v>11</v>
      </c>
      <c r="B14" s="15" t="s">
        <v>172</v>
      </c>
      <c r="C14" s="15"/>
      <c r="D14" s="15" t="s">
        <v>1121</v>
      </c>
      <c r="E14" s="19" t="s">
        <v>1069</v>
      </c>
      <c r="F14" s="15" t="s">
        <v>1117</v>
      </c>
      <c r="G14" s="15" t="s">
        <v>1001</v>
      </c>
      <c r="H14" s="14" t="s">
        <v>171</v>
      </c>
      <c r="I14" s="14" t="s">
        <v>29</v>
      </c>
      <c r="J14" s="14" t="s">
        <v>31</v>
      </c>
      <c r="K14" s="14" t="s">
        <v>163</v>
      </c>
      <c r="L14" s="14" t="s">
        <v>163</v>
      </c>
      <c r="M14" s="14" t="s">
        <v>1051</v>
      </c>
      <c r="N14" s="14"/>
      <c r="O14" s="14"/>
      <c r="P14" s="14"/>
      <c r="Q14" s="14"/>
      <c r="R14" s="14"/>
      <c r="S14" s="14"/>
      <c r="T14" s="14"/>
      <c r="U14" s="5"/>
      <c r="V14" s="5"/>
      <c r="W14" s="14"/>
      <c r="X14" s="5"/>
    </row>
    <row r="15" spans="1:26" s="3" customFormat="1" ht="30" customHeight="1" x14ac:dyDescent="0.3">
      <c r="A15" s="14">
        <f t="shared" si="0"/>
        <v>12</v>
      </c>
      <c r="B15" s="15" t="s">
        <v>172</v>
      </c>
      <c r="C15" s="15"/>
      <c r="D15" s="15" t="s">
        <v>1121</v>
      </c>
      <c r="E15" s="19" t="s">
        <v>1070</v>
      </c>
      <c r="F15" s="15" t="s">
        <v>1117</v>
      </c>
      <c r="G15" s="15" t="s">
        <v>1001</v>
      </c>
      <c r="H15" s="14" t="s">
        <v>171</v>
      </c>
      <c r="I15" s="14" t="s">
        <v>29</v>
      </c>
      <c r="J15" s="14" t="s">
        <v>31</v>
      </c>
      <c r="K15" s="14" t="s">
        <v>163</v>
      </c>
      <c r="L15" s="14" t="s">
        <v>163</v>
      </c>
      <c r="M15" s="14" t="s">
        <v>1073</v>
      </c>
      <c r="N15" s="14"/>
      <c r="O15" s="14"/>
      <c r="P15" s="14"/>
      <c r="Q15" s="14"/>
      <c r="R15" s="14"/>
      <c r="S15" s="14"/>
      <c r="T15" s="14"/>
      <c r="U15" s="5"/>
      <c r="V15" s="5"/>
      <c r="W15" s="14"/>
      <c r="X15" s="5"/>
    </row>
    <row r="16" spans="1:26" s="3" customFormat="1" ht="30" customHeight="1" x14ac:dyDescent="0.3">
      <c r="A16" s="14">
        <f t="shared" si="0"/>
        <v>13</v>
      </c>
      <c r="B16" s="15" t="s">
        <v>172</v>
      </c>
      <c r="C16" s="15"/>
      <c r="D16" s="15" t="s">
        <v>1121</v>
      </c>
      <c r="E16" s="19" t="s">
        <v>1071</v>
      </c>
      <c r="F16" s="15" t="s">
        <v>1117</v>
      </c>
      <c r="G16" s="15" t="s">
        <v>1001</v>
      </c>
      <c r="H16" s="14" t="s">
        <v>171</v>
      </c>
      <c r="I16" s="14" t="s">
        <v>29</v>
      </c>
      <c r="J16" s="14" t="s">
        <v>31</v>
      </c>
      <c r="K16" s="14" t="s">
        <v>163</v>
      </c>
      <c r="L16" s="14" t="s">
        <v>163</v>
      </c>
      <c r="M16" s="14" t="s">
        <v>1074</v>
      </c>
      <c r="N16" s="14"/>
      <c r="O16" s="14"/>
      <c r="P16" s="14"/>
      <c r="Q16" s="14"/>
      <c r="R16" s="14"/>
      <c r="S16" s="14"/>
      <c r="T16" s="14"/>
      <c r="U16" s="5"/>
      <c r="V16" s="5"/>
      <c r="W16" s="14"/>
      <c r="X16" s="5"/>
    </row>
    <row r="17" spans="1:24" s="3" customFormat="1" ht="30" customHeight="1" x14ac:dyDescent="0.3">
      <c r="A17" s="14">
        <f t="shared" si="0"/>
        <v>14</v>
      </c>
      <c r="B17" s="15" t="s">
        <v>172</v>
      </c>
      <c r="C17" s="15"/>
      <c r="D17" s="15" t="s">
        <v>1121</v>
      </c>
      <c r="E17" s="19" t="s">
        <v>1072</v>
      </c>
      <c r="F17" s="15" t="s">
        <v>1117</v>
      </c>
      <c r="G17" s="15" t="s">
        <v>1001</v>
      </c>
      <c r="H17" s="14" t="s">
        <v>171</v>
      </c>
      <c r="I17" s="14" t="s">
        <v>29</v>
      </c>
      <c r="J17" s="14" t="s">
        <v>31</v>
      </c>
      <c r="K17" s="14" t="s">
        <v>163</v>
      </c>
      <c r="L17" s="14" t="s">
        <v>245</v>
      </c>
      <c r="M17" s="14" t="s">
        <v>1063</v>
      </c>
      <c r="N17" s="14"/>
      <c r="O17" s="14"/>
      <c r="P17" s="14"/>
      <c r="Q17" s="14"/>
      <c r="R17" s="14"/>
      <c r="S17" s="14"/>
      <c r="T17" s="14"/>
      <c r="U17" s="5"/>
      <c r="V17" s="5"/>
      <c r="W17" s="14"/>
      <c r="X17" s="5"/>
    </row>
    <row r="18" spans="1:24" s="3" customFormat="1" ht="30" customHeight="1" x14ac:dyDescent="0.3">
      <c r="A18" s="14">
        <f t="shared" si="0"/>
        <v>15</v>
      </c>
      <c r="B18" s="15" t="s">
        <v>172</v>
      </c>
      <c r="C18" s="15"/>
      <c r="D18" s="15" t="s">
        <v>1122</v>
      </c>
      <c r="E18" s="19" t="s">
        <v>1069</v>
      </c>
      <c r="F18" s="15" t="s">
        <v>1118</v>
      </c>
      <c r="G18" s="15" t="s">
        <v>1001</v>
      </c>
      <c r="H18" s="14" t="s">
        <v>171</v>
      </c>
      <c r="I18" s="14" t="s">
        <v>29</v>
      </c>
      <c r="J18" s="14" t="s">
        <v>31</v>
      </c>
      <c r="K18" s="14" t="s">
        <v>163</v>
      </c>
      <c r="L18" s="14" t="s">
        <v>163</v>
      </c>
      <c r="M18" s="14" t="s">
        <v>1051</v>
      </c>
      <c r="N18" s="14"/>
      <c r="O18" s="14"/>
      <c r="P18" s="14"/>
      <c r="Q18" s="14"/>
      <c r="R18" s="14"/>
      <c r="S18" s="14"/>
      <c r="T18" s="14"/>
      <c r="U18" s="5"/>
      <c r="V18" s="5"/>
      <c r="W18" s="14"/>
      <c r="X18" s="5"/>
    </row>
    <row r="19" spans="1:24" s="3" customFormat="1" ht="30" customHeight="1" x14ac:dyDescent="0.3">
      <c r="A19" s="14">
        <f t="shared" si="0"/>
        <v>16</v>
      </c>
      <c r="B19" s="15" t="s">
        <v>172</v>
      </c>
      <c r="C19" s="15"/>
      <c r="D19" s="15" t="s">
        <v>1122</v>
      </c>
      <c r="E19" s="19" t="s">
        <v>1070</v>
      </c>
      <c r="F19" s="15" t="s">
        <v>1118</v>
      </c>
      <c r="G19" s="15" t="s">
        <v>1001</v>
      </c>
      <c r="H19" s="14" t="s">
        <v>171</v>
      </c>
      <c r="I19" s="14" t="s">
        <v>29</v>
      </c>
      <c r="J19" s="14" t="s">
        <v>31</v>
      </c>
      <c r="K19" s="14" t="s">
        <v>163</v>
      </c>
      <c r="L19" s="14" t="s">
        <v>163</v>
      </c>
      <c r="M19" s="14" t="s">
        <v>1073</v>
      </c>
      <c r="N19" s="14"/>
      <c r="O19" s="14"/>
      <c r="P19" s="14"/>
      <c r="Q19" s="14"/>
      <c r="R19" s="14"/>
      <c r="S19" s="14"/>
      <c r="T19" s="14"/>
      <c r="U19" s="5"/>
      <c r="V19" s="5"/>
      <c r="W19" s="14"/>
      <c r="X19" s="5"/>
    </row>
    <row r="20" spans="1:24" s="3" customFormat="1" ht="30" customHeight="1" x14ac:dyDescent="0.3">
      <c r="A20" s="14">
        <f t="shared" si="0"/>
        <v>17</v>
      </c>
      <c r="B20" s="15" t="s">
        <v>172</v>
      </c>
      <c r="C20" s="15"/>
      <c r="D20" s="15" t="s">
        <v>1122</v>
      </c>
      <c r="E20" s="19" t="s">
        <v>1071</v>
      </c>
      <c r="F20" s="15" t="s">
        <v>1118</v>
      </c>
      <c r="G20" s="15" t="s">
        <v>1001</v>
      </c>
      <c r="H20" s="14" t="s">
        <v>171</v>
      </c>
      <c r="I20" s="14" t="s">
        <v>29</v>
      </c>
      <c r="J20" s="14" t="s">
        <v>31</v>
      </c>
      <c r="K20" s="14" t="s">
        <v>163</v>
      </c>
      <c r="L20" s="14" t="s">
        <v>163</v>
      </c>
      <c r="M20" s="14" t="s">
        <v>1074</v>
      </c>
      <c r="N20" s="14"/>
      <c r="O20" s="14"/>
      <c r="P20" s="14"/>
      <c r="Q20" s="14"/>
      <c r="R20" s="14"/>
      <c r="S20" s="14"/>
      <c r="T20" s="14"/>
      <c r="U20" s="5"/>
      <c r="V20" s="5"/>
      <c r="W20" s="14"/>
      <c r="X20" s="5"/>
    </row>
    <row r="21" spans="1:24" s="3" customFormat="1" ht="30" customHeight="1" x14ac:dyDescent="0.3">
      <c r="A21" s="14">
        <f t="shared" si="0"/>
        <v>18</v>
      </c>
      <c r="B21" s="15" t="s">
        <v>172</v>
      </c>
      <c r="C21" s="15"/>
      <c r="D21" s="15" t="s">
        <v>1122</v>
      </c>
      <c r="E21" s="19" t="s">
        <v>1072</v>
      </c>
      <c r="F21" s="15" t="s">
        <v>1118</v>
      </c>
      <c r="G21" s="15" t="s">
        <v>1001</v>
      </c>
      <c r="H21" s="14" t="s">
        <v>171</v>
      </c>
      <c r="I21" s="14" t="s">
        <v>29</v>
      </c>
      <c r="J21" s="14" t="s">
        <v>31</v>
      </c>
      <c r="K21" s="14" t="s">
        <v>163</v>
      </c>
      <c r="L21" s="14" t="s">
        <v>245</v>
      </c>
      <c r="M21" s="14" t="s">
        <v>1063</v>
      </c>
      <c r="N21" s="14"/>
      <c r="O21" s="14"/>
      <c r="P21" s="14"/>
      <c r="Q21" s="14"/>
      <c r="R21" s="14"/>
      <c r="S21" s="14"/>
      <c r="T21" s="14"/>
      <c r="U21" s="5"/>
      <c r="V21" s="5"/>
      <c r="W21" s="14"/>
      <c r="X21" s="5"/>
    </row>
    <row r="22" spans="1:24" s="3" customFormat="1" ht="30" customHeight="1" x14ac:dyDescent="0.3">
      <c r="A22" s="14">
        <f t="shared" si="0"/>
        <v>19</v>
      </c>
      <c r="B22" s="15" t="s">
        <v>172</v>
      </c>
      <c r="C22" s="15"/>
      <c r="D22" s="15" t="s">
        <v>1123</v>
      </c>
      <c r="E22" s="19" t="s">
        <v>1069</v>
      </c>
      <c r="F22" s="15" t="s">
        <v>1119</v>
      </c>
      <c r="G22" s="15" t="s">
        <v>1001</v>
      </c>
      <c r="H22" s="14" t="s">
        <v>171</v>
      </c>
      <c r="I22" s="14" t="s">
        <v>29</v>
      </c>
      <c r="J22" s="14" t="s">
        <v>31</v>
      </c>
      <c r="K22" s="14" t="s">
        <v>163</v>
      </c>
      <c r="L22" s="14" t="s">
        <v>163</v>
      </c>
      <c r="M22" s="14" t="s">
        <v>1051</v>
      </c>
      <c r="N22" s="14"/>
      <c r="O22" s="14"/>
      <c r="P22" s="14"/>
      <c r="Q22" s="14"/>
      <c r="R22" s="14"/>
      <c r="S22" s="14"/>
      <c r="T22" s="14"/>
      <c r="U22" s="5"/>
      <c r="V22" s="5"/>
      <c r="W22" s="14"/>
      <c r="X22" s="5"/>
    </row>
    <row r="23" spans="1:24" s="3" customFormat="1" ht="30" customHeight="1" x14ac:dyDescent="0.3">
      <c r="A23" s="14">
        <f t="shared" si="0"/>
        <v>20</v>
      </c>
      <c r="B23" s="15" t="s">
        <v>172</v>
      </c>
      <c r="C23" s="15"/>
      <c r="D23" s="15" t="s">
        <v>1123</v>
      </c>
      <c r="E23" s="19" t="s">
        <v>1070</v>
      </c>
      <c r="F23" s="15" t="s">
        <v>1119</v>
      </c>
      <c r="G23" s="15" t="s">
        <v>1001</v>
      </c>
      <c r="H23" s="14" t="s">
        <v>171</v>
      </c>
      <c r="I23" s="14" t="s">
        <v>29</v>
      </c>
      <c r="J23" s="14" t="s">
        <v>31</v>
      </c>
      <c r="K23" s="14" t="s">
        <v>163</v>
      </c>
      <c r="L23" s="14" t="s">
        <v>163</v>
      </c>
      <c r="M23" s="14" t="s">
        <v>1073</v>
      </c>
      <c r="N23" s="14"/>
      <c r="O23" s="14"/>
      <c r="P23" s="14"/>
      <c r="Q23" s="14"/>
      <c r="R23" s="14"/>
      <c r="S23" s="14"/>
      <c r="T23" s="14"/>
      <c r="U23" s="5"/>
      <c r="V23" s="5"/>
      <c r="W23" s="14"/>
      <c r="X23" s="5"/>
    </row>
    <row r="24" spans="1:24" s="3" customFormat="1" ht="30" customHeight="1" x14ac:dyDescent="0.3">
      <c r="A24" s="14">
        <f t="shared" si="0"/>
        <v>21</v>
      </c>
      <c r="B24" s="15" t="s">
        <v>172</v>
      </c>
      <c r="C24" s="15"/>
      <c r="D24" s="15" t="s">
        <v>1123</v>
      </c>
      <c r="E24" s="19" t="s">
        <v>1071</v>
      </c>
      <c r="F24" s="15" t="s">
        <v>1119</v>
      </c>
      <c r="G24" s="15" t="s">
        <v>1001</v>
      </c>
      <c r="H24" s="14" t="s">
        <v>171</v>
      </c>
      <c r="I24" s="14" t="s">
        <v>29</v>
      </c>
      <c r="J24" s="14" t="s">
        <v>31</v>
      </c>
      <c r="K24" s="14" t="s">
        <v>163</v>
      </c>
      <c r="L24" s="14" t="s">
        <v>163</v>
      </c>
      <c r="M24" s="14" t="s">
        <v>1074</v>
      </c>
      <c r="N24" s="14"/>
      <c r="O24" s="14"/>
      <c r="P24" s="14"/>
      <c r="Q24" s="14"/>
      <c r="R24" s="14"/>
      <c r="S24" s="14"/>
      <c r="T24" s="14"/>
      <c r="U24" s="5"/>
      <c r="V24" s="5"/>
      <c r="W24" s="14"/>
      <c r="X24" s="5"/>
    </row>
    <row r="25" spans="1:24" s="3" customFormat="1" ht="30" customHeight="1" x14ac:dyDescent="0.3">
      <c r="A25" s="14">
        <f t="shared" si="0"/>
        <v>22</v>
      </c>
      <c r="B25" s="15" t="s">
        <v>172</v>
      </c>
      <c r="C25" s="15"/>
      <c r="D25" s="15" t="s">
        <v>1123</v>
      </c>
      <c r="E25" s="19" t="s">
        <v>1072</v>
      </c>
      <c r="F25" s="15" t="s">
        <v>1119</v>
      </c>
      <c r="G25" s="15" t="s">
        <v>1001</v>
      </c>
      <c r="H25" s="14" t="s">
        <v>171</v>
      </c>
      <c r="I25" s="14" t="s">
        <v>29</v>
      </c>
      <c r="J25" s="14" t="s">
        <v>31</v>
      </c>
      <c r="K25" s="14" t="s">
        <v>163</v>
      </c>
      <c r="L25" s="14" t="s">
        <v>245</v>
      </c>
      <c r="M25" s="14" t="s">
        <v>1063</v>
      </c>
      <c r="N25" s="14"/>
      <c r="O25" s="14"/>
      <c r="P25" s="14"/>
      <c r="Q25" s="14"/>
      <c r="R25" s="14"/>
      <c r="S25" s="14"/>
      <c r="T25" s="14"/>
      <c r="U25" s="5"/>
      <c r="V25" s="5"/>
      <c r="W25" s="14"/>
      <c r="X25" s="5"/>
    </row>
    <row r="26" spans="1:24" s="3" customFormat="1" ht="30" customHeight="1" x14ac:dyDescent="0.3">
      <c r="A26" s="14">
        <f t="shared" si="0"/>
        <v>23</v>
      </c>
      <c r="B26" s="15" t="s">
        <v>172</v>
      </c>
      <c r="C26" s="15"/>
      <c r="D26" s="15" t="s">
        <v>1124</v>
      </c>
      <c r="E26" s="19" t="s">
        <v>1069</v>
      </c>
      <c r="F26" s="15" t="s">
        <v>1003</v>
      </c>
      <c r="G26" s="15" t="s">
        <v>1001</v>
      </c>
      <c r="H26" s="14" t="s">
        <v>171</v>
      </c>
      <c r="I26" s="14" t="s">
        <v>29</v>
      </c>
      <c r="J26" s="14" t="s">
        <v>31</v>
      </c>
      <c r="K26" s="14" t="s">
        <v>163</v>
      </c>
      <c r="L26" s="14" t="s">
        <v>163</v>
      </c>
      <c r="M26" s="14" t="s">
        <v>1051</v>
      </c>
      <c r="N26" s="14"/>
      <c r="O26" s="14"/>
      <c r="P26" s="14"/>
      <c r="Q26" s="14"/>
      <c r="R26" s="14"/>
      <c r="S26" s="14"/>
      <c r="T26" s="14"/>
      <c r="U26" s="5"/>
      <c r="V26" s="5"/>
      <c r="W26" s="14"/>
      <c r="X26" s="5"/>
    </row>
    <row r="27" spans="1:24" s="3" customFormat="1" ht="30" customHeight="1" x14ac:dyDescent="0.3">
      <c r="A27" s="14">
        <f t="shared" si="0"/>
        <v>24</v>
      </c>
      <c r="B27" s="15" t="s">
        <v>172</v>
      </c>
      <c r="C27" s="15"/>
      <c r="D27" s="15" t="s">
        <v>1124</v>
      </c>
      <c r="E27" s="19" t="s">
        <v>1070</v>
      </c>
      <c r="F27" s="15" t="s">
        <v>1003</v>
      </c>
      <c r="G27" s="15" t="s">
        <v>1001</v>
      </c>
      <c r="H27" s="14" t="s">
        <v>171</v>
      </c>
      <c r="I27" s="14" t="s">
        <v>29</v>
      </c>
      <c r="J27" s="14" t="s">
        <v>31</v>
      </c>
      <c r="K27" s="14" t="s">
        <v>163</v>
      </c>
      <c r="L27" s="14" t="s">
        <v>163</v>
      </c>
      <c r="M27" s="14" t="s">
        <v>1073</v>
      </c>
      <c r="N27" s="14"/>
      <c r="O27" s="14"/>
      <c r="P27" s="14"/>
      <c r="Q27" s="14"/>
      <c r="R27" s="14"/>
      <c r="S27" s="14"/>
      <c r="T27" s="14"/>
      <c r="U27" s="5"/>
      <c r="V27" s="5"/>
      <c r="W27" s="14"/>
      <c r="X27" s="5"/>
    </row>
    <row r="28" spans="1:24" s="3" customFormat="1" ht="30" customHeight="1" x14ac:dyDescent="0.3">
      <c r="A28" s="14">
        <f t="shared" si="0"/>
        <v>25</v>
      </c>
      <c r="B28" s="15" t="s">
        <v>172</v>
      </c>
      <c r="C28" s="15"/>
      <c r="D28" s="15" t="s">
        <v>1124</v>
      </c>
      <c r="E28" s="19" t="s">
        <v>1071</v>
      </c>
      <c r="F28" s="15" t="s">
        <v>1003</v>
      </c>
      <c r="G28" s="15" t="s">
        <v>1001</v>
      </c>
      <c r="H28" s="14" t="s">
        <v>171</v>
      </c>
      <c r="I28" s="14" t="s">
        <v>29</v>
      </c>
      <c r="J28" s="14" t="s">
        <v>31</v>
      </c>
      <c r="K28" s="14" t="s">
        <v>163</v>
      </c>
      <c r="L28" s="14" t="s">
        <v>163</v>
      </c>
      <c r="M28" s="14" t="s">
        <v>1074</v>
      </c>
      <c r="N28" s="14"/>
      <c r="O28" s="14"/>
      <c r="P28" s="14"/>
      <c r="Q28" s="14"/>
      <c r="R28" s="14"/>
      <c r="S28" s="14"/>
      <c r="T28" s="14"/>
      <c r="U28" s="5"/>
      <c r="V28" s="5"/>
      <c r="W28" s="14"/>
      <c r="X28" s="5"/>
    </row>
    <row r="29" spans="1:24" s="3" customFormat="1" ht="30" customHeight="1" x14ac:dyDescent="0.3">
      <c r="A29" s="14">
        <f t="shared" si="0"/>
        <v>26</v>
      </c>
      <c r="B29" s="15" t="s">
        <v>172</v>
      </c>
      <c r="C29" s="15"/>
      <c r="D29" s="15" t="s">
        <v>1124</v>
      </c>
      <c r="E29" s="19" t="s">
        <v>1072</v>
      </c>
      <c r="F29" s="15" t="s">
        <v>1003</v>
      </c>
      <c r="G29" s="15" t="s">
        <v>1001</v>
      </c>
      <c r="H29" s="14" t="s">
        <v>171</v>
      </c>
      <c r="I29" s="14" t="s">
        <v>29</v>
      </c>
      <c r="J29" s="14" t="s">
        <v>31</v>
      </c>
      <c r="K29" s="14" t="s">
        <v>163</v>
      </c>
      <c r="L29" s="14" t="s">
        <v>245</v>
      </c>
      <c r="M29" s="14" t="s">
        <v>1063</v>
      </c>
      <c r="N29" s="14"/>
      <c r="O29" s="14"/>
      <c r="P29" s="14"/>
      <c r="Q29" s="14"/>
      <c r="R29" s="14"/>
      <c r="S29" s="14"/>
      <c r="T29" s="14"/>
      <c r="U29" s="5"/>
      <c r="V29" s="5"/>
      <c r="W29" s="14"/>
      <c r="X29" s="5"/>
    </row>
    <row r="30" spans="1:24" s="3" customFormat="1" ht="30" customHeight="1" x14ac:dyDescent="0.3">
      <c r="A30" s="14"/>
      <c r="B30" s="15"/>
      <c r="C30" s="15"/>
      <c r="D30" s="15"/>
      <c r="E30" s="19"/>
      <c r="F30" s="19"/>
      <c r="G30" s="19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5"/>
      <c r="V30" s="5"/>
      <c r="W30" s="14"/>
      <c r="X30" s="5"/>
    </row>
    <row r="31" spans="1:24" s="3" customFormat="1" ht="30" customHeight="1" x14ac:dyDescent="0.3">
      <c r="B31" s="2"/>
      <c r="C31" s="2"/>
      <c r="E31" s="4"/>
      <c r="F31" s="4"/>
      <c r="G31" s="2"/>
      <c r="H31" s="4"/>
      <c r="U31" s="4"/>
      <c r="V31" s="4"/>
      <c r="X31" s="4"/>
    </row>
    <row r="32" spans="1:24" s="3" customFormat="1" ht="30" customHeight="1" x14ac:dyDescent="0.3">
      <c r="B32" s="2"/>
      <c r="C32" s="2"/>
      <c r="E32" s="4"/>
      <c r="F32" s="4"/>
      <c r="G32" s="2"/>
      <c r="H32" s="4"/>
      <c r="U32" s="4"/>
      <c r="V32" s="4"/>
      <c r="X32" s="4"/>
    </row>
    <row r="33" spans="2:24" s="3" customFormat="1" ht="30" customHeight="1" x14ac:dyDescent="0.3">
      <c r="B33" s="2"/>
      <c r="C33" s="2"/>
      <c r="E33" s="4"/>
      <c r="F33" s="4"/>
      <c r="G33" s="2"/>
      <c r="H33" s="4"/>
      <c r="U33" s="4"/>
      <c r="V33" s="4"/>
      <c r="X33" s="4"/>
    </row>
    <row r="34" spans="2:24" s="3" customFormat="1" ht="30" customHeight="1" x14ac:dyDescent="0.3">
      <c r="B34" s="2"/>
      <c r="C34" s="2"/>
      <c r="E34" s="4"/>
      <c r="F34" s="4"/>
      <c r="G34" s="2"/>
      <c r="H34" s="4"/>
      <c r="U34" s="4"/>
      <c r="V34" s="4"/>
      <c r="X34" s="4"/>
    </row>
    <row r="35" spans="2:24" s="3" customFormat="1" ht="30" customHeight="1" x14ac:dyDescent="0.3">
      <c r="B35" s="2"/>
      <c r="C35" s="2"/>
      <c r="E35" s="4"/>
      <c r="F35" s="4"/>
      <c r="G35" s="2"/>
      <c r="H35" s="4"/>
      <c r="U35" s="4"/>
      <c r="V35" s="4"/>
      <c r="X35" s="4"/>
    </row>
    <row r="36" spans="2:24" s="3" customFormat="1" ht="30" customHeight="1" x14ac:dyDescent="0.3">
      <c r="B36" s="2"/>
      <c r="C36" s="2"/>
      <c r="E36" s="4"/>
      <c r="F36" s="4"/>
      <c r="G36" s="2"/>
      <c r="H36" s="4"/>
      <c r="U36" s="4"/>
      <c r="V36" s="4"/>
      <c r="X36" s="4"/>
    </row>
    <row r="37" spans="2:24" s="3" customFormat="1" ht="30" customHeight="1" x14ac:dyDescent="0.3">
      <c r="B37" s="2"/>
      <c r="C37" s="2"/>
      <c r="E37" s="4"/>
      <c r="F37" s="4"/>
      <c r="G37" s="2"/>
      <c r="H37" s="4"/>
      <c r="U37" s="4"/>
      <c r="V37" s="4"/>
      <c r="X37" s="4"/>
    </row>
    <row r="38" spans="2:24" s="3" customFormat="1" ht="30" customHeight="1" x14ac:dyDescent="0.3">
      <c r="B38" s="2"/>
      <c r="C38" s="2"/>
      <c r="E38" s="4"/>
      <c r="F38" s="4"/>
      <c r="G38" s="2"/>
      <c r="H38" s="4"/>
      <c r="U38" s="4"/>
      <c r="V38" s="4"/>
      <c r="X38" s="4"/>
    </row>
    <row r="39" spans="2:24" s="3" customFormat="1" ht="30" customHeight="1" x14ac:dyDescent="0.3">
      <c r="B39" s="2"/>
      <c r="C39" s="2"/>
      <c r="E39" s="4"/>
      <c r="F39" s="4"/>
      <c r="G39" s="2"/>
      <c r="H39" s="4"/>
      <c r="U39" s="4"/>
      <c r="V39" s="4"/>
      <c r="X39" s="4"/>
    </row>
    <row r="40" spans="2:24" s="3" customFormat="1" ht="30" customHeight="1" x14ac:dyDescent="0.3">
      <c r="B40" s="2"/>
      <c r="C40" s="2"/>
      <c r="E40" s="4"/>
      <c r="F40" s="4"/>
      <c r="G40" s="2"/>
      <c r="H40" s="4"/>
      <c r="U40" s="4"/>
      <c r="V40" s="4"/>
      <c r="X40" s="4"/>
    </row>
    <row r="41" spans="2:24" s="3" customFormat="1" ht="30" customHeight="1" x14ac:dyDescent="0.3">
      <c r="B41" s="2"/>
      <c r="C41" s="2"/>
      <c r="E41" s="4"/>
      <c r="F41" s="4"/>
      <c r="G41" s="2"/>
      <c r="H41" s="4"/>
      <c r="U41" s="4"/>
      <c r="V41" s="4"/>
      <c r="X41" s="4"/>
    </row>
    <row r="42" spans="2:24" s="3" customFormat="1" ht="30" customHeight="1" x14ac:dyDescent="0.3">
      <c r="B42" s="2"/>
      <c r="C42" s="2"/>
      <c r="E42" s="4"/>
      <c r="F42" s="4"/>
      <c r="G42" s="2"/>
      <c r="H42" s="4"/>
      <c r="U42" s="4"/>
      <c r="V42" s="4"/>
      <c r="X42" s="4"/>
    </row>
    <row r="43" spans="2:24" s="3" customFormat="1" ht="30" customHeight="1" x14ac:dyDescent="0.3">
      <c r="B43" s="2"/>
      <c r="C43" s="2"/>
      <c r="E43" s="4"/>
      <c r="F43" s="4"/>
      <c r="G43" s="2"/>
      <c r="H43" s="4"/>
      <c r="U43" s="4"/>
      <c r="V43" s="4"/>
      <c r="X43" s="4"/>
    </row>
    <row r="44" spans="2:24" s="3" customFormat="1" ht="30" customHeight="1" x14ac:dyDescent="0.3">
      <c r="B44" s="2"/>
      <c r="C44" s="2"/>
      <c r="E44" s="4"/>
      <c r="F44" s="4"/>
      <c r="G44" s="2"/>
      <c r="H44" s="4"/>
      <c r="U44" s="4"/>
      <c r="V44" s="4"/>
      <c r="X44" s="4"/>
    </row>
    <row r="45" spans="2:24" s="3" customFormat="1" ht="30" customHeight="1" x14ac:dyDescent="0.3">
      <c r="B45" s="2"/>
      <c r="C45" s="2"/>
      <c r="E45" s="4"/>
      <c r="F45" s="4"/>
      <c r="G45" s="2"/>
      <c r="H45" s="4"/>
      <c r="U45" s="4"/>
      <c r="V45" s="4"/>
      <c r="X45" s="4"/>
    </row>
    <row r="46" spans="2:24" s="3" customFormat="1" ht="30" customHeight="1" x14ac:dyDescent="0.3">
      <c r="B46" s="2"/>
      <c r="C46" s="2"/>
      <c r="E46" s="4"/>
      <c r="F46" s="4"/>
      <c r="G46" s="2"/>
      <c r="H46" s="4"/>
      <c r="U46" s="4"/>
      <c r="V46" s="4"/>
      <c r="X46" s="4"/>
    </row>
    <row r="47" spans="2:24" s="3" customFormat="1" ht="30" customHeight="1" x14ac:dyDescent="0.3">
      <c r="B47" s="2"/>
      <c r="C47" s="2"/>
      <c r="E47" s="4"/>
      <c r="F47" s="4"/>
      <c r="G47" s="2"/>
      <c r="H47" s="4"/>
      <c r="U47" s="4"/>
      <c r="V47" s="4"/>
      <c r="X47" s="4"/>
    </row>
    <row r="48" spans="2:24" s="3" customFormat="1" ht="30" customHeight="1" x14ac:dyDescent="0.3">
      <c r="B48" s="2"/>
      <c r="C48" s="2"/>
      <c r="E48" s="4"/>
      <c r="F48" s="4"/>
      <c r="G48" s="2"/>
      <c r="H48" s="4"/>
      <c r="U48" s="4"/>
      <c r="V48" s="4"/>
      <c r="X48" s="4"/>
    </row>
    <row r="49" spans="2:24" s="3" customFormat="1" ht="30" customHeight="1" x14ac:dyDescent="0.3">
      <c r="B49" s="2"/>
      <c r="C49" s="2"/>
      <c r="E49" s="4"/>
      <c r="F49" s="4"/>
      <c r="G49" s="2"/>
      <c r="H49" s="4"/>
      <c r="U49" s="4"/>
      <c r="V49" s="4"/>
      <c r="X49" s="4"/>
    </row>
    <row r="50" spans="2:24" s="3" customFormat="1" ht="30" customHeight="1" x14ac:dyDescent="0.3">
      <c r="B50" s="2"/>
      <c r="C50" s="2"/>
      <c r="E50" s="4"/>
      <c r="F50" s="4"/>
      <c r="G50" s="2"/>
      <c r="H50" s="4"/>
      <c r="U50" s="4"/>
      <c r="V50" s="4"/>
      <c r="X50" s="4"/>
    </row>
    <row r="51" spans="2:24" s="3" customFormat="1" ht="30" customHeight="1" x14ac:dyDescent="0.3">
      <c r="B51" s="2"/>
      <c r="C51" s="2"/>
      <c r="E51" s="4"/>
      <c r="F51" s="4"/>
      <c r="G51" s="2"/>
      <c r="H51" s="4"/>
      <c r="U51" s="4"/>
      <c r="V51" s="4"/>
      <c r="X51" s="4"/>
    </row>
    <row r="52" spans="2:24" s="3" customFormat="1" ht="30" customHeight="1" x14ac:dyDescent="0.3">
      <c r="B52" s="2"/>
      <c r="C52" s="2"/>
      <c r="E52" s="4"/>
      <c r="F52" s="4"/>
      <c r="G52" s="2"/>
      <c r="H52" s="4"/>
      <c r="U52" s="4"/>
      <c r="V52" s="4"/>
      <c r="X52" s="4"/>
    </row>
    <row r="53" spans="2:24" s="3" customFormat="1" ht="30" customHeight="1" x14ac:dyDescent="0.3">
      <c r="B53" s="2"/>
      <c r="C53" s="2"/>
      <c r="E53" s="4"/>
      <c r="F53" s="4"/>
      <c r="G53" s="4"/>
      <c r="H53" s="2"/>
      <c r="U53" s="4"/>
      <c r="V53" s="4"/>
      <c r="X53" s="4"/>
    </row>
    <row r="54" spans="2:24" s="3" customFormat="1" ht="30" customHeight="1" x14ac:dyDescent="0.3">
      <c r="B54" s="2"/>
      <c r="C54" s="2"/>
      <c r="E54" s="4"/>
      <c r="F54" s="4"/>
      <c r="G54" s="4"/>
      <c r="H54" s="2"/>
      <c r="U54" s="4"/>
      <c r="V54" s="4"/>
      <c r="X54" s="4"/>
    </row>
    <row r="55" spans="2:24" s="3" customFormat="1" ht="30" customHeight="1" x14ac:dyDescent="0.3">
      <c r="B55" s="2"/>
      <c r="C55" s="2"/>
      <c r="E55" s="4"/>
      <c r="F55" s="4"/>
      <c r="G55" s="4"/>
      <c r="H55" s="2"/>
      <c r="U55" s="4"/>
      <c r="V55" s="4"/>
      <c r="X55" s="4"/>
    </row>
    <row r="56" spans="2:24" s="3" customFormat="1" ht="30" customHeight="1" x14ac:dyDescent="0.3">
      <c r="B56" s="2"/>
      <c r="C56" s="2"/>
      <c r="E56" s="4"/>
      <c r="F56" s="4"/>
      <c r="G56" s="4"/>
      <c r="H56" s="2"/>
      <c r="U56" s="4"/>
      <c r="V56" s="4"/>
      <c r="X56" s="4"/>
    </row>
    <row r="57" spans="2:24" s="3" customFormat="1" ht="30" customHeight="1" x14ac:dyDescent="0.3">
      <c r="B57" s="2"/>
      <c r="C57" s="2"/>
      <c r="E57" s="4"/>
      <c r="F57" s="4"/>
      <c r="G57" s="4"/>
      <c r="H57" s="2"/>
      <c r="U57" s="4"/>
      <c r="V57" s="4"/>
      <c r="X57" s="4"/>
    </row>
    <row r="58" spans="2:24" s="3" customFormat="1" ht="30" customHeight="1" x14ac:dyDescent="0.3">
      <c r="B58" s="2"/>
      <c r="C58" s="2"/>
      <c r="E58" s="4"/>
      <c r="F58" s="4"/>
      <c r="G58" s="4"/>
      <c r="H58" s="2"/>
      <c r="U58" s="4"/>
      <c r="V58" s="4"/>
      <c r="X58" s="4"/>
    </row>
  </sheetData>
  <autoFilter ref="A3:Z58" xr:uid="{F56D1C5C-316D-4C1E-ACF4-D54CD57FC5B6}"/>
  <mergeCells count="20">
    <mergeCell ref="W1:W2"/>
    <mergeCell ref="X1:X2"/>
    <mergeCell ref="M1:M2"/>
    <mergeCell ref="N1:Q1"/>
    <mergeCell ref="R1:S1"/>
    <mergeCell ref="T1:T2"/>
    <mergeCell ref="U1:U2"/>
    <mergeCell ref="V1:V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honeticPr fontId="8" type="noConversion"/>
  <pageMargins left="0.70866141732283472" right="0.51181102362204722" top="0.55118110236220474" bottom="0.55118110236220474" header="0.31496062992125984" footer="0.31496062992125984"/>
  <pageSetup paperSize="8" scale="79" fitToHeight="0" orientation="landscape" r:id="rId1"/>
  <headerFooter>
    <oddFooter>&amp;R&amp;10PAGE &amp;P OF &amp;N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6AEC-88B1-4B76-9D34-DA72A63924E5}">
  <sheetPr>
    <pageSetUpPr fitToPage="1"/>
  </sheetPr>
  <dimension ref="A1:Z44"/>
  <sheetViews>
    <sheetView view="pageBreakPreview" zoomScale="85" zoomScaleNormal="115" zoomScaleSheetLayoutView="85" workbookViewId="0">
      <pane xSplit="3" ySplit="3" topLeftCell="E4" activePane="bottomRight" state="frozen"/>
      <selection activeCell="O38" sqref="O38"/>
      <selection pane="topRight" activeCell="O38" sqref="O38"/>
      <selection pane="bottomLeft" activeCell="O38" sqref="O38"/>
      <selection pane="bottomRight" activeCell="J13" sqref="J13"/>
    </sheetView>
  </sheetViews>
  <sheetFormatPr defaultColWidth="9.08203125" defaultRowHeight="30" customHeight="1" x14ac:dyDescent="0.3"/>
  <cols>
    <col min="1" max="1" width="5.75" style="3" customWidth="1"/>
    <col min="2" max="2" width="8.33203125" style="2" customWidth="1"/>
    <col min="3" max="3" width="13" style="2" customWidth="1"/>
    <col min="4" max="4" width="13" style="3" customWidth="1"/>
    <col min="5" max="5" width="23.08203125" style="24" customWidth="1"/>
    <col min="6" max="6" width="14.75" style="4" customWidth="1"/>
    <col min="7" max="7" width="15.58203125" style="4" customWidth="1"/>
    <col min="8" max="8" width="9.25" style="2" customWidth="1"/>
    <col min="9" max="9" width="9.08203125" style="3"/>
    <col min="10" max="10" width="10.83203125" style="3" customWidth="1"/>
    <col min="11" max="11" width="12.33203125" style="3" customWidth="1"/>
    <col min="12" max="13" width="9.08203125" style="3"/>
    <col min="14" max="20" width="7.58203125" style="3" customWidth="1"/>
    <col min="21" max="21" width="8.58203125" style="4" customWidth="1"/>
    <col min="22" max="22" width="9.08203125" style="4"/>
    <col min="23" max="23" width="9.08203125" style="3"/>
    <col min="24" max="24" width="9.08203125" style="4"/>
    <col min="25" max="26" width="9.08203125" style="3"/>
    <col min="27" max="16384" width="9.08203125" style="4"/>
  </cols>
  <sheetData>
    <row r="1" spans="1:26" ht="20.149999999999999" customHeight="1" x14ac:dyDescent="0.3">
      <c r="A1" s="134" t="s">
        <v>0</v>
      </c>
      <c r="B1" s="134" t="s">
        <v>1</v>
      </c>
      <c r="C1" s="134" t="s">
        <v>27</v>
      </c>
      <c r="D1" s="134" t="s">
        <v>2</v>
      </c>
      <c r="E1" s="134" t="s">
        <v>3</v>
      </c>
      <c r="F1" s="134" t="s">
        <v>4</v>
      </c>
      <c r="G1" s="134" t="s">
        <v>5</v>
      </c>
      <c r="H1" s="134" t="s">
        <v>6</v>
      </c>
      <c r="I1" s="134" t="s">
        <v>7</v>
      </c>
      <c r="J1" s="134" t="s">
        <v>8</v>
      </c>
      <c r="K1" s="135" t="s">
        <v>249</v>
      </c>
      <c r="L1" s="134" t="s">
        <v>9</v>
      </c>
      <c r="M1" s="134" t="s">
        <v>10</v>
      </c>
      <c r="N1" s="137" t="s">
        <v>11</v>
      </c>
      <c r="O1" s="137"/>
      <c r="P1" s="137"/>
      <c r="Q1" s="137"/>
      <c r="R1" s="137" t="s">
        <v>12</v>
      </c>
      <c r="S1" s="137"/>
      <c r="T1" s="134" t="s">
        <v>13</v>
      </c>
      <c r="U1" s="134" t="s">
        <v>14</v>
      </c>
      <c r="V1" s="134" t="s">
        <v>15</v>
      </c>
      <c r="W1" s="134" t="s">
        <v>16</v>
      </c>
      <c r="X1" s="134" t="s">
        <v>17</v>
      </c>
    </row>
    <row r="2" spans="1:26" ht="20.149999999999999" customHeight="1" x14ac:dyDescent="0.3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6"/>
      <c r="L2" s="134"/>
      <c r="M2" s="134"/>
      <c r="N2" s="18" t="s">
        <v>18</v>
      </c>
      <c r="O2" s="18" t="s">
        <v>19</v>
      </c>
      <c r="P2" s="18" t="s">
        <v>20</v>
      </c>
      <c r="Q2" s="18" t="s">
        <v>21</v>
      </c>
      <c r="R2" s="7">
        <v>0</v>
      </c>
      <c r="S2" s="7">
        <v>1</v>
      </c>
      <c r="T2" s="134"/>
      <c r="U2" s="134"/>
      <c r="V2" s="134"/>
      <c r="W2" s="134"/>
      <c r="X2" s="134"/>
      <c r="Y2" s="3" t="s">
        <v>22</v>
      </c>
      <c r="Z2" s="3" t="s">
        <v>23</v>
      </c>
    </row>
    <row r="3" spans="1:26" ht="30" customHeight="1" x14ac:dyDescent="0.3">
      <c r="A3" s="20" t="s">
        <v>1126</v>
      </c>
      <c r="B3" s="21"/>
      <c r="C3" s="21"/>
      <c r="D3" s="22"/>
      <c r="E3" s="17"/>
      <c r="F3" s="17"/>
      <c r="G3" s="17"/>
      <c r="H3" s="17"/>
      <c r="I3" s="17"/>
      <c r="J3" s="17"/>
      <c r="K3" s="17"/>
      <c r="L3" s="17"/>
      <c r="M3" s="17"/>
      <c r="N3" s="18"/>
      <c r="O3" s="18"/>
      <c r="P3" s="18"/>
      <c r="Q3" s="18"/>
      <c r="R3" s="7"/>
      <c r="S3" s="7"/>
      <c r="T3" s="17"/>
      <c r="U3" s="17"/>
      <c r="V3" s="17"/>
      <c r="W3" s="17"/>
      <c r="X3" s="17"/>
    </row>
    <row r="4" spans="1:26" ht="30" customHeight="1" x14ac:dyDescent="0.3">
      <c r="A4" s="14">
        <f t="shared" ref="A4:A15" si="0">ROW()-3</f>
        <v>1</v>
      </c>
      <c r="B4" s="15" t="s">
        <v>172</v>
      </c>
      <c r="C4" s="15" t="s">
        <v>1019</v>
      </c>
      <c r="D4" s="15" t="s">
        <v>1013</v>
      </c>
      <c r="E4" s="19" t="s">
        <v>1020</v>
      </c>
      <c r="F4" s="15" t="s">
        <v>1021</v>
      </c>
      <c r="G4" s="15" t="s">
        <v>1017</v>
      </c>
      <c r="H4" s="14" t="s">
        <v>172</v>
      </c>
      <c r="I4" s="14" t="s">
        <v>25</v>
      </c>
      <c r="J4" s="14" t="s">
        <v>30</v>
      </c>
      <c r="K4" s="14" t="s">
        <v>713</v>
      </c>
      <c r="L4" s="14" t="s">
        <v>163</v>
      </c>
      <c r="M4" s="14" t="s">
        <v>163</v>
      </c>
      <c r="N4" s="14"/>
      <c r="O4" s="14"/>
      <c r="P4" s="14"/>
      <c r="Q4" s="14"/>
      <c r="R4" s="14"/>
      <c r="S4" s="14"/>
      <c r="T4" s="14"/>
      <c r="U4" s="5"/>
      <c r="V4" s="5"/>
      <c r="W4" s="14"/>
      <c r="X4" s="5"/>
    </row>
    <row r="5" spans="1:26" ht="30" customHeight="1" x14ac:dyDescent="0.3">
      <c r="A5" s="14">
        <f t="shared" si="0"/>
        <v>2</v>
      </c>
      <c r="B5" s="15" t="s">
        <v>172</v>
      </c>
      <c r="C5" s="15" t="s">
        <v>1022</v>
      </c>
      <c r="D5" s="15" t="s">
        <v>1014</v>
      </c>
      <c r="E5" s="19" t="s">
        <v>1023</v>
      </c>
      <c r="F5" s="15" t="s">
        <v>1021</v>
      </c>
      <c r="G5" s="15" t="s">
        <v>1017</v>
      </c>
      <c r="H5" s="14" t="s">
        <v>172</v>
      </c>
      <c r="I5" s="14" t="s">
        <v>25</v>
      </c>
      <c r="J5" s="14" t="s">
        <v>30</v>
      </c>
      <c r="K5" s="14" t="s">
        <v>713</v>
      </c>
      <c r="L5" s="14" t="s">
        <v>163</v>
      </c>
      <c r="M5" s="14" t="s">
        <v>163</v>
      </c>
      <c r="N5" s="14"/>
      <c r="O5" s="14"/>
      <c r="P5" s="14"/>
      <c r="Q5" s="14"/>
      <c r="R5" s="14"/>
      <c r="S5" s="14"/>
      <c r="T5" s="14"/>
      <c r="U5" s="5"/>
      <c r="V5" s="5"/>
      <c r="W5" s="14"/>
      <c r="X5" s="5"/>
    </row>
    <row r="6" spans="1:26" s="3" customFormat="1" ht="30" customHeight="1" x14ac:dyDescent="0.3">
      <c r="A6" s="14">
        <f t="shared" si="0"/>
        <v>3</v>
      </c>
      <c r="B6" s="15" t="s">
        <v>172</v>
      </c>
      <c r="C6" s="15" t="s">
        <v>1025</v>
      </c>
      <c r="D6" s="15" t="s">
        <v>1015</v>
      </c>
      <c r="E6" s="19" t="s">
        <v>1026</v>
      </c>
      <c r="F6" s="15" t="s">
        <v>1027</v>
      </c>
      <c r="G6" s="15" t="s">
        <v>1017</v>
      </c>
      <c r="H6" s="14" t="s">
        <v>172</v>
      </c>
      <c r="I6" s="14" t="s">
        <v>25</v>
      </c>
      <c r="J6" s="14" t="s">
        <v>30</v>
      </c>
      <c r="K6" s="14" t="s">
        <v>713</v>
      </c>
      <c r="L6" s="14" t="s">
        <v>163</v>
      </c>
      <c r="M6" s="14" t="s">
        <v>163</v>
      </c>
      <c r="N6" s="14"/>
      <c r="O6" s="14"/>
      <c r="P6" s="14"/>
      <c r="Q6" s="14"/>
      <c r="R6" s="14">
        <v>0</v>
      </c>
      <c r="S6" s="14">
        <v>6</v>
      </c>
      <c r="T6" s="14" t="s">
        <v>633</v>
      </c>
      <c r="U6" s="5"/>
      <c r="V6" s="5"/>
      <c r="W6" s="14"/>
      <c r="X6" s="5"/>
    </row>
    <row r="7" spans="1:26" s="3" customFormat="1" ht="30" customHeight="1" x14ac:dyDescent="0.3">
      <c r="A7" s="14">
        <f t="shared" si="0"/>
        <v>4</v>
      </c>
      <c r="B7" s="15" t="s">
        <v>172</v>
      </c>
      <c r="C7" s="15" t="s">
        <v>1024</v>
      </c>
      <c r="D7" s="15" t="s">
        <v>1016</v>
      </c>
      <c r="E7" s="19" t="s">
        <v>1028</v>
      </c>
      <c r="F7" s="15" t="s">
        <v>1027</v>
      </c>
      <c r="G7" s="15" t="s">
        <v>1018</v>
      </c>
      <c r="H7" s="14" t="s">
        <v>172</v>
      </c>
      <c r="I7" s="14" t="s">
        <v>29</v>
      </c>
      <c r="J7" s="14" t="s">
        <v>31</v>
      </c>
      <c r="K7" s="14" t="s">
        <v>163</v>
      </c>
      <c r="L7" s="14" t="s">
        <v>163</v>
      </c>
      <c r="M7" s="14" t="s">
        <v>1029</v>
      </c>
      <c r="N7" s="14"/>
      <c r="O7" s="14">
        <v>2.5</v>
      </c>
      <c r="P7" s="14">
        <v>5.5</v>
      </c>
      <c r="Q7" s="14"/>
      <c r="R7" s="14"/>
      <c r="S7" s="14"/>
      <c r="T7" s="14" t="s">
        <v>633</v>
      </c>
      <c r="U7" s="5"/>
      <c r="V7" s="5"/>
      <c r="W7" s="14"/>
      <c r="X7" s="5"/>
    </row>
    <row r="8" spans="1:26" s="3" customFormat="1" ht="30" customHeight="1" x14ac:dyDescent="0.3">
      <c r="A8" s="14">
        <f t="shared" si="0"/>
        <v>5</v>
      </c>
      <c r="B8" s="15" t="s">
        <v>172</v>
      </c>
      <c r="C8" s="15"/>
      <c r="D8" s="15" t="s">
        <v>1158</v>
      </c>
      <c r="E8" s="19" t="s">
        <v>1069</v>
      </c>
      <c r="F8" s="15" t="s">
        <v>1066</v>
      </c>
      <c r="G8" s="15" t="s">
        <v>933</v>
      </c>
      <c r="H8" s="14" t="s">
        <v>171</v>
      </c>
      <c r="I8" s="14" t="s">
        <v>29</v>
      </c>
      <c r="J8" s="14" t="s">
        <v>31</v>
      </c>
      <c r="K8" s="14" t="s">
        <v>163</v>
      </c>
      <c r="L8" s="14" t="s">
        <v>163</v>
      </c>
      <c r="M8" s="14" t="s">
        <v>1051</v>
      </c>
      <c r="N8" s="14"/>
      <c r="O8" s="14"/>
      <c r="P8" s="14"/>
      <c r="Q8" s="14"/>
      <c r="R8" s="14"/>
      <c r="S8" s="14"/>
      <c r="T8" s="14"/>
      <c r="U8" s="5"/>
      <c r="V8" s="5"/>
      <c r="W8" s="14"/>
      <c r="X8" s="5"/>
    </row>
    <row r="9" spans="1:26" s="3" customFormat="1" ht="30" customHeight="1" x14ac:dyDescent="0.3">
      <c r="A9" s="14">
        <f t="shared" si="0"/>
        <v>6</v>
      </c>
      <c r="B9" s="15" t="s">
        <v>172</v>
      </c>
      <c r="C9" s="15"/>
      <c r="D9" s="15" t="s">
        <v>1158</v>
      </c>
      <c r="E9" s="19" t="s">
        <v>1070</v>
      </c>
      <c r="F9" s="15" t="s">
        <v>1066</v>
      </c>
      <c r="G9" s="15" t="s">
        <v>933</v>
      </c>
      <c r="H9" s="14" t="s">
        <v>171</v>
      </c>
      <c r="I9" s="14" t="s">
        <v>29</v>
      </c>
      <c r="J9" s="14" t="s">
        <v>31</v>
      </c>
      <c r="K9" s="14" t="s">
        <v>163</v>
      </c>
      <c r="L9" s="14" t="s">
        <v>163</v>
      </c>
      <c r="M9" s="14" t="s">
        <v>1073</v>
      </c>
      <c r="N9" s="14"/>
      <c r="O9" s="14"/>
      <c r="P9" s="14"/>
      <c r="Q9" s="14"/>
      <c r="R9" s="14"/>
      <c r="S9" s="14"/>
      <c r="T9" s="14"/>
      <c r="U9" s="5"/>
      <c r="V9" s="5"/>
      <c r="W9" s="14"/>
      <c r="X9" s="5"/>
    </row>
    <row r="10" spans="1:26" s="3" customFormat="1" ht="30" customHeight="1" x14ac:dyDescent="0.3">
      <c r="A10" s="14">
        <f t="shared" si="0"/>
        <v>7</v>
      </c>
      <c r="B10" s="15" t="s">
        <v>172</v>
      </c>
      <c r="C10" s="15"/>
      <c r="D10" s="15" t="s">
        <v>1158</v>
      </c>
      <c r="E10" s="19" t="s">
        <v>1071</v>
      </c>
      <c r="F10" s="15" t="s">
        <v>1066</v>
      </c>
      <c r="G10" s="15" t="s">
        <v>933</v>
      </c>
      <c r="H10" s="14" t="s">
        <v>171</v>
      </c>
      <c r="I10" s="14" t="s">
        <v>29</v>
      </c>
      <c r="J10" s="14" t="s">
        <v>31</v>
      </c>
      <c r="K10" s="14" t="s">
        <v>163</v>
      </c>
      <c r="L10" s="14" t="s">
        <v>163</v>
      </c>
      <c r="M10" s="14" t="s">
        <v>1074</v>
      </c>
      <c r="N10" s="14"/>
      <c r="O10" s="14"/>
      <c r="P10" s="14"/>
      <c r="Q10" s="14"/>
      <c r="R10" s="14"/>
      <c r="S10" s="14"/>
      <c r="T10" s="14"/>
      <c r="U10" s="5"/>
      <c r="V10" s="5"/>
      <c r="W10" s="14"/>
      <c r="X10" s="5"/>
    </row>
    <row r="11" spans="1:26" s="3" customFormat="1" ht="30" customHeight="1" x14ac:dyDescent="0.3">
      <c r="A11" s="14">
        <f t="shared" si="0"/>
        <v>8</v>
      </c>
      <c r="B11" s="15" t="s">
        <v>172</v>
      </c>
      <c r="C11" s="15"/>
      <c r="D11" s="15" t="s">
        <v>1158</v>
      </c>
      <c r="E11" s="19" t="s">
        <v>1072</v>
      </c>
      <c r="F11" s="15" t="s">
        <v>1066</v>
      </c>
      <c r="G11" s="15" t="s">
        <v>933</v>
      </c>
      <c r="H11" s="14" t="s">
        <v>171</v>
      </c>
      <c r="I11" s="14" t="s">
        <v>29</v>
      </c>
      <c r="J11" s="14" t="s">
        <v>31</v>
      </c>
      <c r="K11" s="14" t="s">
        <v>163</v>
      </c>
      <c r="L11" s="14" t="s">
        <v>245</v>
      </c>
      <c r="M11" s="14" t="s">
        <v>1063</v>
      </c>
      <c r="N11" s="14"/>
      <c r="O11" s="14"/>
      <c r="P11" s="14"/>
      <c r="Q11" s="14"/>
      <c r="R11" s="14"/>
      <c r="S11" s="14"/>
      <c r="T11" s="14"/>
      <c r="U11" s="5"/>
      <c r="V11" s="5"/>
      <c r="W11" s="14"/>
      <c r="X11" s="5"/>
    </row>
    <row r="12" spans="1:26" s="3" customFormat="1" ht="30" customHeight="1" x14ac:dyDescent="0.3">
      <c r="A12" s="14">
        <f t="shared" si="0"/>
        <v>9</v>
      </c>
      <c r="B12" s="15" t="s">
        <v>172</v>
      </c>
      <c r="C12" s="15"/>
      <c r="D12" s="15" t="s">
        <v>1159</v>
      </c>
      <c r="E12" s="19" t="s">
        <v>1069</v>
      </c>
      <c r="F12" s="15" t="s">
        <v>1068</v>
      </c>
      <c r="G12" s="15" t="s">
        <v>933</v>
      </c>
      <c r="H12" s="14" t="s">
        <v>171</v>
      </c>
      <c r="I12" s="14" t="s">
        <v>29</v>
      </c>
      <c r="J12" s="14" t="s">
        <v>31</v>
      </c>
      <c r="K12" s="14" t="s">
        <v>163</v>
      </c>
      <c r="L12" s="14" t="s">
        <v>163</v>
      </c>
      <c r="M12" s="14" t="s">
        <v>1051</v>
      </c>
      <c r="N12" s="14"/>
      <c r="O12" s="14"/>
      <c r="P12" s="14"/>
      <c r="Q12" s="14"/>
      <c r="R12" s="14"/>
      <c r="S12" s="14"/>
      <c r="T12" s="14"/>
      <c r="U12" s="5"/>
      <c r="V12" s="5"/>
      <c r="W12" s="14"/>
      <c r="X12" s="5"/>
    </row>
    <row r="13" spans="1:26" s="3" customFormat="1" ht="30" customHeight="1" x14ac:dyDescent="0.3">
      <c r="A13" s="14">
        <f t="shared" si="0"/>
        <v>10</v>
      </c>
      <c r="B13" s="15" t="s">
        <v>172</v>
      </c>
      <c r="C13" s="15"/>
      <c r="D13" s="15" t="s">
        <v>1159</v>
      </c>
      <c r="E13" s="19" t="s">
        <v>1070</v>
      </c>
      <c r="F13" s="15" t="s">
        <v>1068</v>
      </c>
      <c r="G13" s="15" t="s">
        <v>933</v>
      </c>
      <c r="H13" s="14" t="s">
        <v>171</v>
      </c>
      <c r="I13" s="14" t="s">
        <v>29</v>
      </c>
      <c r="J13" s="14" t="s">
        <v>31</v>
      </c>
      <c r="K13" s="14" t="s">
        <v>163</v>
      </c>
      <c r="L13" s="14" t="s">
        <v>163</v>
      </c>
      <c r="M13" s="14" t="s">
        <v>1073</v>
      </c>
      <c r="N13" s="14"/>
      <c r="O13" s="14"/>
      <c r="P13" s="14"/>
      <c r="Q13" s="14"/>
      <c r="R13" s="14"/>
      <c r="S13" s="14"/>
      <c r="T13" s="14"/>
      <c r="U13" s="5"/>
      <c r="V13" s="5"/>
      <c r="W13" s="14"/>
      <c r="X13" s="5"/>
    </row>
    <row r="14" spans="1:26" s="3" customFormat="1" ht="30" customHeight="1" x14ac:dyDescent="0.3">
      <c r="A14" s="14">
        <f t="shared" si="0"/>
        <v>11</v>
      </c>
      <c r="B14" s="15" t="s">
        <v>172</v>
      </c>
      <c r="C14" s="15"/>
      <c r="D14" s="15" t="s">
        <v>1159</v>
      </c>
      <c r="E14" s="19" t="s">
        <v>1071</v>
      </c>
      <c r="F14" s="15" t="s">
        <v>1068</v>
      </c>
      <c r="G14" s="15" t="s">
        <v>933</v>
      </c>
      <c r="H14" s="14" t="s">
        <v>171</v>
      </c>
      <c r="I14" s="14" t="s">
        <v>29</v>
      </c>
      <c r="J14" s="14" t="s">
        <v>31</v>
      </c>
      <c r="K14" s="14" t="s">
        <v>163</v>
      </c>
      <c r="L14" s="14" t="s">
        <v>163</v>
      </c>
      <c r="M14" s="14" t="s">
        <v>1074</v>
      </c>
      <c r="N14" s="14"/>
      <c r="O14" s="14"/>
      <c r="P14" s="14"/>
      <c r="Q14" s="14"/>
      <c r="R14" s="14"/>
      <c r="S14" s="14"/>
      <c r="T14" s="14"/>
      <c r="U14" s="5"/>
      <c r="V14" s="5"/>
      <c r="W14" s="14"/>
      <c r="X14" s="5"/>
    </row>
    <row r="15" spans="1:26" s="3" customFormat="1" ht="30" customHeight="1" x14ac:dyDescent="0.3">
      <c r="A15" s="14">
        <f t="shared" si="0"/>
        <v>12</v>
      </c>
      <c r="B15" s="15" t="s">
        <v>172</v>
      </c>
      <c r="C15" s="15"/>
      <c r="D15" s="15" t="s">
        <v>1159</v>
      </c>
      <c r="E15" s="19" t="s">
        <v>1072</v>
      </c>
      <c r="F15" s="15" t="s">
        <v>1068</v>
      </c>
      <c r="G15" s="15" t="s">
        <v>933</v>
      </c>
      <c r="H15" s="14" t="s">
        <v>171</v>
      </c>
      <c r="I15" s="14" t="s">
        <v>29</v>
      </c>
      <c r="J15" s="14" t="s">
        <v>31</v>
      </c>
      <c r="K15" s="14" t="s">
        <v>163</v>
      </c>
      <c r="L15" s="14" t="s">
        <v>245</v>
      </c>
      <c r="M15" s="14" t="s">
        <v>1063</v>
      </c>
      <c r="N15" s="14"/>
      <c r="O15" s="14"/>
      <c r="P15" s="14"/>
      <c r="Q15" s="14"/>
      <c r="R15" s="14"/>
      <c r="S15" s="14"/>
      <c r="T15" s="14"/>
      <c r="U15" s="5"/>
      <c r="V15" s="5"/>
      <c r="W15" s="14"/>
      <c r="X15" s="5"/>
    </row>
    <row r="16" spans="1:26" s="3" customFormat="1" ht="30" customHeight="1" x14ac:dyDescent="0.3">
      <c r="A16" s="14"/>
      <c r="B16" s="15"/>
      <c r="C16" s="15"/>
      <c r="D16" s="15"/>
      <c r="E16" s="19"/>
      <c r="F16" s="19"/>
      <c r="G16" s="19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5"/>
      <c r="V16" s="5"/>
      <c r="W16" s="14"/>
      <c r="X16" s="5"/>
    </row>
    <row r="17" spans="2:24" s="3" customFormat="1" ht="30" customHeight="1" x14ac:dyDescent="0.3">
      <c r="B17" s="2"/>
      <c r="C17" s="2"/>
      <c r="E17" s="4"/>
      <c r="F17" s="4"/>
      <c r="G17" s="2"/>
      <c r="H17" s="4"/>
      <c r="U17" s="4"/>
      <c r="V17" s="4"/>
      <c r="X17" s="4"/>
    </row>
    <row r="18" spans="2:24" s="3" customFormat="1" ht="30" customHeight="1" x14ac:dyDescent="0.3">
      <c r="B18" s="2"/>
      <c r="C18" s="2"/>
      <c r="E18" s="4"/>
      <c r="F18" s="4"/>
      <c r="G18" s="2"/>
      <c r="H18" s="4"/>
      <c r="U18" s="4"/>
      <c r="V18" s="4"/>
      <c r="X18" s="4"/>
    </row>
    <row r="19" spans="2:24" s="3" customFormat="1" ht="30" customHeight="1" x14ac:dyDescent="0.3">
      <c r="B19" s="2"/>
      <c r="C19" s="2"/>
      <c r="E19" s="4"/>
      <c r="F19" s="4"/>
      <c r="G19" s="2"/>
      <c r="H19" s="4"/>
      <c r="U19" s="4"/>
      <c r="V19" s="4"/>
      <c r="X19" s="4"/>
    </row>
    <row r="20" spans="2:24" s="3" customFormat="1" ht="30" customHeight="1" x14ac:dyDescent="0.3">
      <c r="B20" s="2"/>
      <c r="C20" s="2"/>
      <c r="E20" s="4"/>
      <c r="F20" s="4"/>
      <c r="G20" s="2"/>
      <c r="H20" s="4"/>
      <c r="U20" s="4"/>
      <c r="V20" s="4"/>
      <c r="X20" s="4"/>
    </row>
    <row r="21" spans="2:24" s="3" customFormat="1" ht="30" customHeight="1" x14ac:dyDescent="0.3">
      <c r="B21" s="2"/>
      <c r="C21" s="2"/>
      <c r="E21" s="4"/>
      <c r="F21" s="4"/>
      <c r="G21" s="2"/>
      <c r="H21" s="4"/>
      <c r="U21" s="4"/>
      <c r="V21" s="4"/>
      <c r="X21" s="4"/>
    </row>
    <row r="22" spans="2:24" s="3" customFormat="1" ht="30" customHeight="1" x14ac:dyDescent="0.3">
      <c r="B22" s="2"/>
      <c r="C22" s="2"/>
      <c r="E22" s="4"/>
      <c r="F22" s="4"/>
      <c r="G22" s="2"/>
      <c r="H22" s="4"/>
      <c r="U22" s="4"/>
      <c r="V22" s="4"/>
      <c r="X22" s="4"/>
    </row>
    <row r="23" spans="2:24" s="3" customFormat="1" ht="30" customHeight="1" x14ac:dyDescent="0.3">
      <c r="B23" s="2"/>
      <c r="C23" s="2"/>
      <c r="E23" s="4"/>
      <c r="F23" s="4"/>
      <c r="G23" s="2"/>
      <c r="H23" s="4"/>
      <c r="U23" s="4"/>
      <c r="V23" s="4"/>
      <c r="X23" s="4"/>
    </row>
    <row r="24" spans="2:24" s="3" customFormat="1" ht="30" customHeight="1" x14ac:dyDescent="0.3">
      <c r="B24" s="2"/>
      <c r="C24" s="2"/>
      <c r="E24" s="4"/>
      <c r="F24" s="4"/>
      <c r="G24" s="2"/>
      <c r="H24" s="4"/>
      <c r="U24" s="4"/>
      <c r="V24" s="4"/>
      <c r="X24" s="4"/>
    </row>
    <row r="25" spans="2:24" s="3" customFormat="1" ht="30" customHeight="1" x14ac:dyDescent="0.3">
      <c r="B25" s="2"/>
      <c r="C25" s="2"/>
      <c r="E25" s="4"/>
      <c r="F25" s="4"/>
      <c r="G25" s="2"/>
      <c r="H25" s="4"/>
      <c r="U25" s="4"/>
      <c r="V25" s="4"/>
      <c r="X25" s="4"/>
    </row>
    <row r="26" spans="2:24" s="3" customFormat="1" ht="30" customHeight="1" x14ac:dyDescent="0.3">
      <c r="B26" s="2"/>
      <c r="C26" s="2"/>
      <c r="E26" s="4"/>
      <c r="F26" s="4"/>
      <c r="G26" s="2"/>
      <c r="H26" s="4"/>
      <c r="U26" s="4"/>
      <c r="V26" s="4"/>
      <c r="X26" s="4"/>
    </row>
    <row r="27" spans="2:24" s="3" customFormat="1" ht="30" customHeight="1" x14ac:dyDescent="0.3">
      <c r="B27" s="2"/>
      <c r="C27" s="2"/>
      <c r="E27" s="4"/>
      <c r="F27" s="4"/>
      <c r="G27" s="2"/>
      <c r="H27" s="4"/>
      <c r="U27" s="4"/>
      <c r="V27" s="4"/>
      <c r="X27" s="4"/>
    </row>
    <row r="28" spans="2:24" s="3" customFormat="1" ht="30" customHeight="1" x14ac:dyDescent="0.3">
      <c r="B28" s="2"/>
      <c r="C28" s="2"/>
      <c r="E28" s="4"/>
      <c r="F28" s="4"/>
      <c r="G28" s="2"/>
      <c r="H28" s="4"/>
      <c r="U28" s="4"/>
      <c r="V28" s="4"/>
      <c r="X28" s="4"/>
    </row>
    <row r="29" spans="2:24" s="3" customFormat="1" ht="30" customHeight="1" x14ac:dyDescent="0.3">
      <c r="B29" s="2"/>
      <c r="C29" s="2"/>
      <c r="E29" s="4"/>
      <c r="F29" s="4"/>
      <c r="G29" s="2"/>
      <c r="H29" s="4"/>
      <c r="U29" s="4"/>
      <c r="V29" s="4"/>
      <c r="X29" s="4"/>
    </row>
    <row r="30" spans="2:24" s="3" customFormat="1" ht="30" customHeight="1" x14ac:dyDescent="0.3">
      <c r="B30" s="2"/>
      <c r="C30" s="2"/>
      <c r="E30" s="4"/>
      <c r="F30" s="4"/>
      <c r="G30" s="2"/>
      <c r="H30" s="4"/>
      <c r="U30" s="4"/>
      <c r="V30" s="4"/>
      <c r="X30" s="4"/>
    </row>
    <row r="31" spans="2:24" s="3" customFormat="1" ht="30" customHeight="1" x14ac:dyDescent="0.3">
      <c r="B31" s="2"/>
      <c r="C31" s="2"/>
      <c r="E31" s="4"/>
      <c r="F31" s="4"/>
      <c r="G31" s="2"/>
      <c r="H31" s="4"/>
      <c r="U31" s="4"/>
      <c r="V31" s="4"/>
      <c r="X31" s="4"/>
    </row>
    <row r="32" spans="2:24" s="3" customFormat="1" ht="30" customHeight="1" x14ac:dyDescent="0.3">
      <c r="B32" s="2"/>
      <c r="C32" s="2"/>
      <c r="E32" s="4"/>
      <c r="F32" s="4"/>
      <c r="G32" s="2"/>
      <c r="H32" s="4"/>
      <c r="U32" s="4"/>
      <c r="V32" s="4"/>
      <c r="X32" s="4"/>
    </row>
    <row r="33" spans="2:24" s="3" customFormat="1" ht="30" customHeight="1" x14ac:dyDescent="0.3">
      <c r="B33" s="2"/>
      <c r="C33" s="2"/>
      <c r="E33" s="4"/>
      <c r="F33" s="4"/>
      <c r="G33" s="2"/>
      <c r="H33" s="4"/>
      <c r="U33" s="4"/>
      <c r="V33" s="4"/>
      <c r="X33" s="4"/>
    </row>
    <row r="34" spans="2:24" s="3" customFormat="1" ht="30" customHeight="1" x14ac:dyDescent="0.3">
      <c r="B34" s="2"/>
      <c r="C34" s="2"/>
      <c r="E34" s="4"/>
      <c r="F34" s="4"/>
      <c r="G34" s="2"/>
      <c r="H34" s="4"/>
      <c r="U34" s="4"/>
      <c r="V34" s="4"/>
      <c r="X34" s="4"/>
    </row>
    <row r="35" spans="2:24" s="3" customFormat="1" ht="30" customHeight="1" x14ac:dyDescent="0.3">
      <c r="B35" s="2"/>
      <c r="C35" s="2"/>
      <c r="E35" s="4"/>
      <c r="F35" s="4"/>
      <c r="G35" s="2"/>
      <c r="H35" s="4"/>
      <c r="U35" s="4"/>
      <c r="V35" s="4"/>
      <c r="X35" s="4"/>
    </row>
    <row r="36" spans="2:24" s="3" customFormat="1" ht="30" customHeight="1" x14ac:dyDescent="0.3">
      <c r="B36" s="2"/>
      <c r="C36" s="2"/>
      <c r="E36" s="4"/>
      <c r="F36" s="4"/>
      <c r="G36" s="2"/>
      <c r="H36" s="4"/>
      <c r="U36" s="4"/>
      <c r="V36" s="4"/>
      <c r="X36" s="4"/>
    </row>
    <row r="37" spans="2:24" s="3" customFormat="1" ht="30" customHeight="1" x14ac:dyDescent="0.3">
      <c r="B37" s="2"/>
      <c r="C37" s="2"/>
      <c r="E37" s="4"/>
      <c r="F37" s="4"/>
      <c r="G37" s="2"/>
      <c r="H37" s="4"/>
      <c r="U37" s="4"/>
      <c r="V37" s="4"/>
      <c r="X37" s="4"/>
    </row>
    <row r="38" spans="2:24" s="3" customFormat="1" ht="30" customHeight="1" x14ac:dyDescent="0.3">
      <c r="B38" s="2"/>
      <c r="C38" s="2"/>
      <c r="E38" s="4"/>
      <c r="F38" s="4"/>
      <c r="G38" s="2"/>
      <c r="H38" s="4"/>
      <c r="U38" s="4"/>
      <c r="V38" s="4"/>
      <c r="X38" s="4"/>
    </row>
    <row r="39" spans="2:24" s="3" customFormat="1" ht="30" customHeight="1" x14ac:dyDescent="0.3">
      <c r="B39" s="2"/>
      <c r="C39" s="2"/>
      <c r="E39" s="4"/>
      <c r="F39" s="4"/>
      <c r="G39" s="4"/>
      <c r="H39" s="2"/>
      <c r="U39" s="4"/>
      <c r="V39" s="4"/>
      <c r="X39" s="4"/>
    </row>
    <row r="40" spans="2:24" s="3" customFormat="1" ht="30" customHeight="1" x14ac:dyDescent="0.3">
      <c r="B40" s="2"/>
      <c r="C40" s="2"/>
      <c r="E40" s="4"/>
      <c r="F40" s="4"/>
      <c r="G40" s="4"/>
      <c r="H40" s="2"/>
      <c r="U40" s="4"/>
      <c r="V40" s="4"/>
      <c r="X40" s="4"/>
    </row>
    <row r="41" spans="2:24" s="3" customFormat="1" ht="30" customHeight="1" x14ac:dyDescent="0.3">
      <c r="B41" s="2"/>
      <c r="C41" s="2"/>
      <c r="E41" s="4"/>
      <c r="F41" s="4"/>
      <c r="G41" s="4"/>
      <c r="H41" s="2"/>
      <c r="U41" s="4"/>
      <c r="V41" s="4"/>
      <c r="X41" s="4"/>
    </row>
    <row r="42" spans="2:24" s="3" customFormat="1" ht="30" customHeight="1" x14ac:dyDescent="0.3">
      <c r="B42" s="2"/>
      <c r="C42" s="2"/>
      <c r="E42" s="4"/>
      <c r="F42" s="4"/>
      <c r="G42" s="4"/>
      <c r="H42" s="2"/>
      <c r="U42" s="4"/>
      <c r="V42" s="4"/>
      <c r="X42" s="4"/>
    </row>
    <row r="43" spans="2:24" s="3" customFormat="1" ht="30" customHeight="1" x14ac:dyDescent="0.3">
      <c r="B43" s="2"/>
      <c r="C43" s="2"/>
      <c r="E43" s="4"/>
      <c r="F43" s="4"/>
      <c r="G43" s="4"/>
      <c r="H43" s="2"/>
      <c r="U43" s="4"/>
      <c r="V43" s="4"/>
      <c r="X43" s="4"/>
    </row>
    <row r="44" spans="2:24" s="3" customFormat="1" ht="30" customHeight="1" x14ac:dyDescent="0.3">
      <c r="B44" s="2"/>
      <c r="C44" s="2"/>
      <c r="E44" s="4"/>
      <c r="F44" s="4"/>
      <c r="G44" s="4"/>
      <c r="H44" s="2"/>
      <c r="U44" s="4"/>
      <c r="V44" s="4"/>
      <c r="X44" s="4"/>
    </row>
  </sheetData>
  <autoFilter ref="A3:Z44" xr:uid="{F56D1C5C-316D-4C1E-ACF4-D54CD57FC5B6}"/>
  <mergeCells count="20">
    <mergeCell ref="W1:W2"/>
    <mergeCell ref="X1:X2"/>
    <mergeCell ref="M1:M2"/>
    <mergeCell ref="N1:Q1"/>
    <mergeCell ref="R1:S1"/>
    <mergeCell ref="T1:T2"/>
    <mergeCell ref="U1:U2"/>
    <mergeCell ref="V1:V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honeticPr fontId="8" type="noConversion"/>
  <pageMargins left="0.70866141732283472" right="0.51181102362204722" top="0.55118110236220474" bottom="0.55118110236220474" header="0.31496062992125984" footer="0.31496062992125984"/>
  <pageSetup paperSize="8" scale="78" fitToHeight="0" orientation="landscape" r:id="rId1"/>
  <headerFooter>
    <oddFooter>&amp;R&amp;10PAGE &amp;P OF &amp;N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F649-AEBC-40B7-9856-DF5D87390736}">
  <sheetPr>
    <pageSetUpPr fitToPage="1"/>
  </sheetPr>
  <dimension ref="A1:Z40"/>
  <sheetViews>
    <sheetView view="pageBreakPreview" zoomScale="85" zoomScaleNormal="115" zoomScaleSheetLayoutView="85" workbookViewId="0">
      <pane xSplit="3" ySplit="3" topLeftCell="E4" activePane="bottomRight" state="frozen"/>
      <selection activeCell="O38" sqref="O38"/>
      <selection pane="topRight" activeCell="O38" sqref="O38"/>
      <selection pane="bottomLeft" activeCell="O38" sqref="O38"/>
      <selection pane="bottomRight" activeCell="L15" sqref="L15"/>
    </sheetView>
  </sheetViews>
  <sheetFormatPr defaultColWidth="9.08203125" defaultRowHeight="30" customHeight="1" x14ac:dyDescent="0.3"/>
  <cols>
    <col min="1" max="1" width="5.75" style="3" customWidth="1"/>
    <col min="2" max="2" width="8.33203125" style="2" customWidth="1"/>
    <col min="3" max="3" width="13" style="2" customWidth="1"/>
    <col min="4" max="4" width="12.08203125" style="3" customWidth="1"/>
    <col min="5" max="5" width="20.83203125" style="24" customWidth="1"/>
    <col min="6" max="6" width="12.33203125" style="4" customWidth="1"/>
    <col min="7" max="7" width="15.58203125" style="4" customWidth="1"/>
    <col min="8" max="8" width="9.25" style="2" customWidth="1"/>
    <col min="9" max="9" width="9.08203125" style="3"/>
    <col min="10" max="10" width="10.83203125" style="3" customWidth="1"/>
    <col min="11" max="11" width="12.33203125" style="3" customWidth="1"/>
    <col min="12" max="13" width="9.08203125" style="3"/>
    <col min="14" max="20" width="7.58203125" style="3" customWidth="1"/>
    <col min="21" max="21" width="8.58203125" style="4" customWidth="1"/>
    <col min="22" max="22" width="9.08203125" style="4"/>
    <col min="23" max="23" width="9.08203125" style="3"/>
    <col min="24" max="24" width="9.08203125" style="4"/>
    <col min="25" max="26" width="9.08203125" style="3"/>
    <col min="27" max="16384" width="9.08203125" style="4"/>
  </cols>
  <sheetData>
    <row r="1" spans="1:26" ht="20.149999999999999" customHeight="1" x14ac:dyDescent="0.3">
      <c r="A1" s="134" t="s">
        <v>0</v>
      </c>
      <c r="B1" s="134" t="s">
        <v>1</v>
      </c>
      <c r="C1" s="134" t="s">
        <v>27</v>
      </c>
      <c r="D1" s="134" t="s">
        <v>2</v>
      </c>
      <c r="E1" s="134" t="s">
        <v>3</v>
      </c>
      <c r="F1" s="134" t="s">
        <v>4</v>
      </c>
      <c r="G1" s="134" t="s">
        <v>5</v>
      </c>
      <c r="H1" s="134" t="s">
        <v>6</v>
      </c>
      <c r="I1" s="134" t="s">
        <v>7</v>
      </c>
      <c r="J1" s="134" t="s">
        <v>8</v>
      </c>
      <c r="K1" s="135" t="s">
        <v>249</v>
      </c>
      <c r="L1" s="134" t="s">
        <v>9</v>
      </c>
      <c r="M1" s="134" t="s">
        <v>10</v>
      </c>
      <c r="N1" s="137" t="s">
        <v>11</v>
      </c>
      <c r="O1" s="137"/>
      <c r="P1" s="137"/>
      <c r="Q1" s="137"/>
      <c r="R1" s="137" t="s">
        <v>12</v>
      </c>
      <c r="S1" s="137"/>
      <c r="T1" s="134" t="s">
        <v>13</v>
      </c>
      <c r="U1" s="134" t="s">
        <v>14</v>
      </c>
      <c r="V1" s="134" t="s">
        <v>15</v>
      </c>
      <c r="W1" s="134" t="s">
        <v>16</v>
      </c>
      <c r="X1" s="134" t="s">
        <v>17</v>
      </c>
    </row>
    <row r="2" spans="1:26" ht="20.149999999999999" customHeight="1" x14ac:dyDescent="0.3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6"/>
      <c r="L2" s="134"/>
      <c r="M2" s="134"/>
      <c r="N2" s="18" t="s">
        <v>18</v>
      </c>
      <c r="O2" s="18" t="s">
        <v>19</v>
      </c>
      <c r="P2" s="18" t="s">
        <v>20</v>
      </c>
      <c r="Q2" s="18" t="s">
        <v>21</v>
      </c>
      <c r="R2" s="7">
        <v>0</v>
      </c>
      <c r="S2" s="7">
        <v>1</v>
      </c>
      <c r="T2" s="134"/>
      <c r="U2" s="134"/>
      <c r="V2" s="134"/>
      <c r="W2" s="134"/>
      <c r="X2" s="134"/>
      <c r="Y2" s="3" t="s">
        <v>22</v>
      </c>
      <c r="Z2" s="3" t="s">
        <v>23</v>
      </c>
    </row>
    <row r="3" spans="1:26" ht="30" customHeight="1" x14ac:dyDescent="0.3">
      <c r="A3" s="20" t="s">
        <v>1127</v>
      </c>
      <c r="B3" s="21"/>
      <c r="C3" s="21"/>
      <c r="D3" s="22"/>
      <c r="E3" s="17"/>
      <c r="F3" s="17"/>
      <c r="G3" s="17"/>
      <c r="H3" s="17"/>
      <c r="I3" s="17"/>
      <c r="J3" s="17"/>
      <c r="K3" s="17"/>
      <c r="L3" s="17"/>
      <c r="M3" s="17"/>
      <c r="N3" s="18"/>
      <c r="O3" s="18"/>
      <c r="P3" s="18"/>
      <c r="Q3" s="18"/>
      <c r="R3" s="7"/>
      <c r="S3" s="7"/>
      <c r="T3" s="17"/>
      <c r="U3" s="17"/>
      <c r="V3" s="17"/>
      <c r="W3" s="17"/>
      <c r="X3" s="17"/>
    </row>
    <row r="4" spans="1:26" ht="30" customHeight="1" x14ac:dyDescent="0.3">
      <c r="A4" s="14">
        <f t="shared" ref="A4:A11" si="0">ROW()-3</f>
        <v>1</v>
      </c>
      <c r="B4" s="15" t="s">
        <v>172</v>
      </c>
      <c r="C4" s="15" t="s">
        <v>1033</v>
      </c>
      <c r="D4" s="15" t="s">
        <v>1030</v>
      </c>
      <c r="E4" s="19" t="s">
        <v>1035</v>
      </c>
      <c r="F4" s="15" t="s">
        <v>1034</v>
      </c>
      <c r="G4" s="15" t="s">
        <v>1032</v>
      </c>
      <c r="H4" s="14" t="s">
        <v>172</v>
      </c>
      <c r="I4" s="14" t="s">
        <v>25</v>
      </c>
      <c r="J4" s="14" t="s">
        <v>30</v>
      </c>
      <c r="K4" s="14" t="s">
        <v>713</v>
      </c>
      <c r="L4" s="14" t="s">
        <v>163</v>
      </c>
      <c r="M4" s="14" t="s">
        <v>163</v>
      </c>
      <c r="N4" s="14"/>
      <c r="O4" s="14"/>
      <c r="P4" s="14"/>
      <c r="Q4" s="14"/>
      <c r="R4" s="14">
        <v>0</v>
      </c>
      <c r="S4" s="14">
        <v>10</v>
      </c>
      <c r="T4" s="14" t="s">
        <v>633</v>
      </c>
      <c r="U4" s="5"/>
      <c r="V4" s="5"/>
      <c r="W4" s="14"/>
      <c r="X4" s="5"/>
    </row>
    <row r="5" spans="1:26" s="3" customFormat="1" ht="30" customHeight="1" x14ac:dyDescent="0.3">
      <c r="A5" s="14">
        <f t="shared" si="0"/>
        <v>2</v>
      </c>
      <c r="B5" s="15" t="s">
        <v>172</v>
      </c>
      <c r="C5" s="15" t="s">
        <v>1038</v>
      </c>
      <c r="D5" s="15" t="s">
        <v>1031</v>
      </c>
      <c r="E5" s="19" t="s">
        <v>1037</v>
      </c>
      <c r="F5" s="15" t="s">
        <v>1036</v>
      </c>
      <c r="G5" s="15" t="s">
        <v>1032</v>
      </c>
      <c r="H5" s="14" t="s">
        <v>172</v>
      </c>
      <c r="I5" s="14" t="s">
        <v>25</v>
      </c>
      <c r="J5" s="14" t="s">
        <v>30</v>
      </c>
      <c r="K5" s="14" t="s">
        <v>713</v>
      </c>
      <c r="L5" s="14" t="s">
        <v>163</v>
      </c>
      <c r="M5" s="14" t="s">
        <v>163</v>
      </c>
      <c r="N5" s="14"/>
      <c r="O5" s="14"/>
      <c r="P5" s="14"/>
      <c r="Q5" s="14"/>
      <c r="R5" s="14">
        <v>0</v>
      </c>
      <c r="S5" s="14">
        <v>10</v>
      </c>
      <c r="T5" s="14" t="s">
        <v>633</v>
      </c>
      <c r="U5" s="5"/>
      <c r="V5" s="5"/>
      <c r="W5" s="14"/>
      <c r="X5" s="5"/>
    </row>
    <row r="6" spans="1:26" s="3" customFormat="1" ht="30" customHeight="1" x14ac:dyDescent="0.3">
      <c r="A6" s="14">
        <f t="shared" si="0"/>
        <v>3</v>
      </c>
      <c r="B6" s="15" t="s">
        <v>172</v>
      </c>
      <c r="C6" s="15" t="s">
        <v>1039</v>
      </c>
      <c r="D6" s="15" t="s">
        <v>1042</v>
      </c>
      <c r="E6" s="19" t="s">
        <v>1045</v>
      </c>
      <c r="F6" s="15" t="s">
        <v>1049</v>
      </c>
      <c r="G6" s="15" t="s">
        <v>1032</v>
      </c>
      <c r="H6" s="14" t="s">
        <v>172</v>
      </c>
      <c r="I6" s="14" t="s">
        <v>29</v>
      </c>
      <c r="J6" s="14" t="s">
        <v>31</v>
      </c>
      <c r="K6" s="14" t="s">
        <v>163</v>
      </c>
      <c r="L6" s="14" t="s">
        <v>163</v>
      </c>
      <c r="M6" s="14" t="s">
        <v>1050</v>
      </c>
      <c r="N6" s="14"/>
      <c r="O6" s="14"/>
      <c r="P6" s="14"/>
      <c r="Q6" s="14"/>
      <c r="R6" s="14"/>
      <c r="S6" s="14"/>
      <c r="T6" s="14"/>
      <c r="U6" s="5"/>
      <c r="V6" s="5"/>
      <c r="W6" s="14"/>
      <c r="X6" s="5"/>
    </row>
    <row r="7" spans="1:26" s="3" customFormat="1" ht="30" customHeight="1" x14ac:dyDescent="0.3">
      <c r="A7" s="14">
        <f t="shared" si="0"/>
        <v>4</v>
      </c>
      <c r="B7" s="15" t="s">
        <v>172</v>
      </c>
      <c r="C7" s="15" t="s">
        <v>1040</v>
      </c>
      <c r="D7" s="15" t="s">
        <v>1043</v>
      </c>
      <c r="E7" s="19" t="s">
        <v>1047</v>
      </c>
      <c r="F7" s="15" t="s">
        <v>1049</v>
      </c>
      <c r="G7" s="15" t="s">
        <v>1032</v>
      </c>
      <c r="H7" s="14" t="s">
        <v>172</v>
      </c>
      <c r="I7" s="14" t="s">
        <v>29</v>
      </c>
      <c r="J7" s="14" t="s">
        <v>31</v>
      </c>
      <c r="K7" s="14" t="s">
        <v>163</v>
      </c>
      <c r="L7" s="14" t="s">
        <v>1052</v>
      </c>
      <c r="M7" s="14" t="s">
        <v>1051</v>
      </c>
      <c r="N7" s="14"/>
      <c r="O7" s="14"/>
      <c r="P7" s="14"/>
      <c r="Q7" s="14"/>
      <c r="R7" s="14"/>
      <c r="S7" s="14"/>
      <c r="T7" s="14"/>
      <c r="U7" s="5"/>
      <c r="V7" s="5"/>
      <c r="W7" s="14"/>
      <c r="X7" s="5"/>
    </row>
    <row r="8" spans="1:26" s="3" customFormat="1" ht="30" customHeight="1" x14ac:dyDescent="0.3">
      <c r="A8" s="14">
        <f t="shared" si="0"/>
        <v>5</v>
      </c>
      <c r="B8" s="15" t="s">
        <v>172</v>
      </c>
      <c r="C8" s="15" t="s">
        <v>1041</v>
      </c>
      <c r="D8" s="15" t="s">
        <v>1044</v>
      </c>
      <c r="E8" s="19" t="s">
        <v>1048</v>
      </c>
      <c r="F8" s="15" t="s">
        <v>1049</v>
      </c>
      <c r="G8" s="15" t="s">
        <v>1032</v>
      </c>
      <c r="H8" s="14" t="s">
        <v>172</v>
      </c>
      <c r="I8" s="14" t="s">
        <v>29</v>
      </c>
      <c r="J8" s="14" t="s">
        <v>31</v>
      </c>
      <c r="K8" s="14" t="s">
        <v>163</v>
      </c>
      <c r="L8" s="14" t="s">
        <v>1053</v>
      </c>
      <c r="M8" s="14" t="s">
        <v>1054</v>
      </c>
      <c r="N8" s="14"/>
      <c r="O8" s="14"/>
      <c r="P8" s="14"/>
      <c r="Q8" s="14"/>
      <c r="R8" s="14"/>
      <c r="S8" s="14"/>
      <c r="T8" s="14"/>
      <c r="U8" s="5"/>
      <c r="V8" s="5"/>
      <c r="W8" s="14"/>
      <c r="X8" s="5"/>
    </row>
    <row r="9" spans="1:26" s="3" customFormat="1" ht="30" customHeight="1" x14ac:dyDescent="0.3">
      <c r="A9" s="14">
        <f t="shared" si="0"/>
        <v>6</v>
      </c>
      <c r="B9" s="15" t="s">
        <v>172</v>
      </c>
      <c r="C9" s="15" t="s">
        <v>1188</v>
      </c>
      <c r="D9" s="15" t="s">
        <v>1185</v>
      </c>
      <c r="E9" s="19" t="s">
        <v>1046</v>
      </c>
      <c r="F9" s="15" t="s">
        <v>1055</v>
      </c>
      <c r="G9" s="15" t="s">
        <v>1032</v>
      </c>
      <c r="H9" s="14" t="s">
        <v>172</v>
      </c>
      <c r="I9" s="14" t="s">
        <v>29</v>
      </c>
      <c r="J9" s="14" t="s">
        <v>31</v>
      </c>
      <c r="K9" s="14" t="s">
        <v>163</v>
      </c>
      <c r="L9" s="14" t="s">
        <v>163</v>
      </c>
      <c r="M9" s="14" t="s">
        <v>1050</v>
      </c>
      <c r="N9" s="14"/>
      <c r="O9" s="14"/>
      <c r="P9" s="14"/>
      <c r="Q9" s="14"/>
      <c r="R9" s="14"/>
      <c r="S9" s="14"/>
      <c r="T9" s="14"/>
      <c r="U9" s="5"/>
      <c r="V9" s="5"/>
      <c r="W9" s="14"/>
      <c r="X9" s="5"/>
    </row>
    <row r="10" spans="1:26" s="3" customFormat="1" ht="30" customHeight="1" x14ac:dyDescent="0.3">
      <c r="A10" s="14">
        <f t="shared" si="0"/>
        <v>7</v>
      </c>
      <c r="B10" s="15" t="s">
        <v>172</v>
      </c>
      <c r="C10" s="15" t="s">
        <v>1189</v>
      </c>
      <c r="D10" s="15" t="s">
        <v>1186</v>
      </c>
      <c r="E10" s="19" t="s">
        <v>1056</v>
      </c>
      <c r="F10" s="15" t="s">
        <v>1055</v>
      </c>
      <c r="G10" s="15" t="s">
        <v>1032</v>
      </c>
      <c r="H10" s="14" t="s">
        <v>172</v>
      </c>
      <c r="I10" s="14" t="s">
        <v>29</v>
      </c>
      <c r="J10" s="14" t="s">
        <v>31</v>
      </c>
      <c r="K10" s="14" t="s">
        <v>163</v>
      </c>
      <c r="L10" s="14" t="s">
        <v>1052</v>
      </c>
      <c r="M10" s="14" t="s">
        <v>1051</v>
      </c>
      <c r="N10" s="14"/>
      <c r="O10" s="14"/>
      <c r="P10" s="14"/>
      <c r="Q10" s="14"/>
      <c r="R10" s="14"/>
      <c r="S10" s="14"/>
      <c r="T10" s="14"/>
      <c r="U10" s="5"/>
      <c r="V10" s="5"/>
      <c r="W10" s="14"/>
      <c r="X10" s="5"/>
    </row>
    <row r="11" spans="1:26" s="3" customFormat="1" ht="30" customHeight="1" x14ac:dyDescent="0.3">
      <c r="A11" s="14">
        <f t="shared" si="0"/>
        <v>8</v>
      </c>
      <c r="B11" s="15" t="s">
        <v>172</v>
      </c>
      <c r="C11" s="15" t="s">
        <v>1190</v>
      </c>
      <c r="D11" s="15" t="s">
        <v>1187</v>
      </c>
      <c r="E11" s="19" t="s">
        <v>1057</v>
      </c>
      <c r="F11" s="15" t="s">
        <v>1055</v>
      </c>
      <c r="G11" s="15" t="s">
        <v>1032</v>
      </c>
      <c r="H11" s="14" t="s">
        <v>172</v>
      </c>
      <c r="I11" s="14" t="s">
        <v>29</v>
      </c>
      <c r="J11" s="14" t="s">
        <v>31</v>
      </c>
      <c r="K11" s="14" t="s">
        <v>163</v>
      </c>
      <c r="L11" s="14" t="s">
        <v>1053</v>
      </c>
      <c r="M11" s="14" t="s">
        <v>1054</v>
      </c>
      <c r="N11" s="14"/>
      <c r="O11" s="14"/>
      <c r="P11" s="14"/>
      <c r="Q11" s="14"/>
      <c r="R11" s="14"/>
      <c r="S11" s="14"/>
      <c r="T11" s="14"/>
      <c r="U11" s="5"/>
      <c r="V11" s="5"/>
      <c r="W11" s="14"/>
      <c r="X11" s="5"/>
    </row>
    <row r="12" spans="1:26" s="3" customFormat="1" ht="30" customHeight="1" x14ac:dyDescent="0.3">
      <c r="A12" s="14"/>
      <c r="B12" s="15"/>
      <c r="C12" s="15"/>
      <c r="D12" s="15"/>
      <c r="E12" s="19"/>
      <c r="F12" s="19"/>
      <c r="G12" s="19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5"/>
      <c r="V12" s="5"/>
      <c r="W12" s="14"/>
      <c r="X12" s="5"/>
    </row>
    <row r="13" spans="1:26" s="3" customFormat="1" ht="30" customHeight="1" x14ac:dyDescent="0.3">
      <c r="B13" s="2"/>
      <c r="C13" s="2"/>
      <c r="E13" s="4"/>
      <c r="F13" s="4"/>
      <c r="G13" s="2"/>
      <c r="H13" s="4"/>
      <c r="U13" s="4"/>
      <c r="V13" s="4"/>
      <c r="X13" s="4"/>
    </row>
    <row r="14" spans="1:26" s="3" customFormat="1" ht="30" customHeight="1" x14ac:dyDescent="0.3">
      <c r="B14" s="2"/>
      <c r="C14" s="2"/>
      <c r="E14" s="4"/>
      <c r="F14" s="4"/>
      <c r="G14" s="2"/>
      <c r="H14" s="4"/>
      <c r="U14" s="4"/>
      <c r="V14" s="4"/>
      <c r="X14" s="4"/>
    </row>
    <row r="15" spans="1:26" s="3" customFormat="1" ht="30" customHeight="1" x14ac:dyDescent="0.3">
      <c r="B15" s="2"/>
      <c r="C15" s="2"/>
      <c r="E15" s="4"/>
      <c r="F15" s="4"/>
      <c r="G15" s="2"/>
      <c r="H15" s="4"/>
      <c r="U15" s="4"/>
      <c r="V15" s="4"/>
      <c r="X15" s="4"/>
    </row>
    <row r="16" spans="1:26" s="3" customFormat="1" ht="30" customHeight="1" x14ac:dyDescent="0.3">
      <c r="B16" s="2"/>
      <c r="C16" s="2"/>
      <c r="E16" s="4"/>
      <c r="F16" s="4"/>
      <c r="G16" s="2"/>
      <c r="H16" s="4"/>
      <c r="U16" s="4"/>
      <c r="V16" s="4"/>
      <c r="X16" s="4"/>
    </row>
    <row r="17" spans="2:24" s="3" customFormat="1" ht="30" customHeight="1" x14ac:dyDescent="0.3">
      <c r="B17" s="2"/>
      <c r="C17" s="2"/>
      <c r="E17" s="4"/>
      <c r="F17" s="4"/>
      <c r="G17" s="2"/>
      <c r="H17" s="4"/>
      <c r="U17" s="4"/>
      <c r="V17" s="4"/>
      <c r="X17" s="4"/>
    </row>
    <row r="18" spans="2:24" s="3" customFormat="1" ht="30" customHeight="1" x14ac:dyDescent="0.3">
      <c r="B18" s="2"/>
      <c r="C18" s="2"/>
      <c r="E18" s="4"/>
      <c r="F18" s="4"/>
      <c r="G18" s="2"/>
      <c r="H18" s="4"/>
      <c r="U18" s="4"/>
      <c r="V18" s="4"/>
      <c r="X18" s="4"/>
    </row>
    <row r="19" spans="2:24" s="3" customFormat="1" ht="30" customHeight="1" x14ac:dyDescent="0.3">
      <c r="B19" s="2"/>
      <c r="C19" s="2"/>
      <c r="E19" s="4"/>
      <c r="F19" s="4"/>
      <c r="G19" s="2"/>
      <c r="H19" s="4"/>
      <c r="U19" s="4"/>
      <c r="V19" s="4"/>
      <c r="X19" s="4"/>
    </row>
    <row r="20" spans="2:24" s="3" customFormat="1" ht="30" customHeight="1" x14ac:dyDescent="0.3">
      <c r="B20" s="2"/>
      <c r="C20" s="2"/>
      <c r="E20" s="4"/>
      <c r="F20" s="4"/>
      <c r="G20" s="2"/>
      <c r="H20" s="4"/>
      <c r="U20" s="4"/>
      <c r="V20" s="4"/>
      <c r="X20" s="4"/>
    </row>
    <row r="21" spans="2:24" s="3" customFormat="1" ht="30" customHeight="1" x14ac:dyDescent="0.3">
      <c r="B21" s="2"/>
      <c r="C21" s="2"/>
      <c r="E21" s="4"/>
      <c r="F21" s="4"/>
      <c r="G21" s="2"/>
      <c r="H21" s="4"/>
      <c r="U21" s="4"/>
      <c r="V21" s="4"/>
      <c r="X21" s="4"/>
    </row>
    <row r="22" spans="2:24" s="3" customFormat="1" ht="30" customHeight="1" x14ac:dyDescent="0.3">
      <c r="B22" s="2"/>
      <c r="C22" s="2"/>
      <c r="E22" s="4"/>
      <c r="F22" s="4"/>
      <c r="G22" s="2"/>
      <c r="H22" s="4"/>
      <c r="U22" s="4"/>
      <c r="V22" s="4"/>
      <c r="X22" s="4"/>
    </row>
    <row r="23" spans="2:24" s="3" customFormat="1" ht="30" customHeight="1" x14ac:dyDescent="0.3">
      <c r="B23" s="2"/>
      <c r="C23" s="2"/>
      <c r="E23" s="4"/>
      <c r="F23" s="4"/>
      <c r="G23" s="2"/>
      <c r="H23" s="4"/>
      <c r="U23" s="4"/>
      <c r="V23" s="4"/>
      <c r="X23" s="4"/>
    </row>
    <row r="24" spans="2:24" s="3" customFormat="1" ht="30" customHeight="1" x14ac:dyDescent="0.3">
      <c r="B24" s="2"/>
      <c r="C24" s="2"/>
      <c r="E24" s="4"/>
      <c r="F24" s="4"/>
      <c r="G24" s="2"/>
      <c r="H24" s="4"/>
      <c r="U24" s="4"/>
      <c r="V24" s="4"/>
      <c r="X24" s="4"/>
    </row>
    <row r="25" spans="2:24" s="3" customFormat="1" ht="30" customHeight="1" x14ac:dyDescent="0.3">
      <c r="B25" s="2"/>
      <c r="C25" s="2"/>
      <c r="E25" s="4"/>
      <c r="F25" s="4"/>
      <c r="G25" s="2"/>
      <c r="H25" s="4"/>
      <c r="U25" s="4"/>
      <c r="V25" s="4"/>
      <c r="X25" s="4"/>
    </row>
    <row r="26" spans="2:24" s="3" customFormat="1" ht="30" customHeight="1" x14ac:dyDescent="0.3">
      <c r="B26" s="2"/>
      <c r="C26" s="2"/>
      <c r="E26" s="4"/>
      <c r="F26" s="4"/>
      <c r="G26" s="2"/>
      <c r="H26" s="4"/>
      <c r="U26" s="4"/>
      <c r="V26" s="4"/>
      <c r="X26" s="4"/>
    </row>
    <row r="27" spans="2:24" s="3" customFormat="1" ht="30" customHeight="1" x14ac:dyDescent="0.3">
      <c r="B27" s="2"/>
      <c r="C27" s="2"/>
      <c r="E27" s="4"/>
      <c r="F27" s="4"/>
      <c r="G27" s="2"/>
      <c r="H27" s="4"/>
      <c r="U27" s="4"/>
      <c r="V27" s="4"/>
      <c r="X27" s="4"/>
    </row>
    <row r="28" spans="2:24" s="3" customFormat="1" ht="30" customHeight="1" x14ac:dyDescent="0.3">
      <c r="B28" s="2"/>
      <c r="C28" s="2"/>
      <c r="E28" s="4"/>
      <c r="F28" s="4"/>
      <c r="G28" s="2"/>
      <c r="H28" s="4"/>
      <c r="U28" s="4"/>
      <c r="V28" s="4"/>
      <c r="X28" s="4"/>
    </row>
    <row r="29" spans="2:24" s="3" customFormat="1" ht="30" customHeight="1" x14ac:dyDescent="0.3">
      <c r="B29" s="2"/>
      <c r="C29" s="2"/>
      <c r="E29" s="4"/>
      <c r="F29" s="4"/>
      <c r="G29" s="2"/>
      <c r="H29" s="4"/>
      <c r="U29" s="4"/>
      <c r="V29" s="4"/>
      <c r="X29" s="4"/>
    </row>
    <row r="30" spans="2:24" s="3" customFormat="1" ht="30" customHeight="1" x14ac:dyDescent="0.3">
      <c r="B30" s="2"/>
      <c r="C30" s="2"/>
      <c r="E30" s="4"/>
      <c r="F30" s="4"/>
      <c r="G30" s="2"/>
      <c r="H30" s="4"/>
      <c r="U30" s="4"/>
      <c r="V30" s="4"/>
      <c r="X30" s="4"/>
    </row>
    <row r="31" spans="2:24" s="3" customFormat="1" ht="30" customHeight="1" x14ac:dyDescent="0.3">
      <c r="B31" s="2"/>
      <c r="C31" s="2"/>
      <c r="E31" s="4"/>
      <c r="F31" s="4"/>
      <c r="G31" s="2"/>
      <c r="H31" s="4"/>
      <c r="U31" s="4"/>
      <c r="V31" s="4"/>
      <c r="X31" s="4"/>
    </row>
    <row r="32" spans="2:24" s="3" customFormat="1" ht="30" customHeight="1" x14ac:dyDescent="0.3">
      <c r="B32" s="2"/>
      <c r="C32" s="2"/>
      <c r="E32" s="4"/>
      <c r="F32" s="4"/>
      <c r="G32" s="2"/>
      <c r="H32" s="4"/>
      <c r="U32" s="4"/>
      <c r="V32" s="4"/>
      <c r="X32" s="4"/>
    </row>
    <row r="33" spans="2:24" s="3" customFormat="1" ht="30" customHeight="1" x14ac:dyDescent="0.3">
      <c r="B33" s="2"/>
      <c r="C33" s="2"/>
      <c r="E33" s="4"/>
      <c r="F33" s="4"/>
      <c r="G33" s="2"/>
      <c r="H33" s="4"/>
      <c r="U33" s="4"/>
      <c r="V33" s="4"/>
      <c r="X33" s="4"/>
    </row>
    <row r="34" spans="2:24" s="3" customFormat="1" ht="30" customHeight="1" x14ac:dyDescent="0.3">
      <c r="B34" s="2"/>
      <c r="C34" s="2"/>
      <c r="E34" s="4"/>
      <c r="F34" s="4"/>
      <c r="G34" s="2"/>
      <c r="H34" s="4"/>
      <c r="U34" s="4"/>
      <c r="V34" s="4"/>
      <c r="X34" s="4"/>
    </row>
    <row r="35" spans="2:24" s="3" customFormat="1" ht="30" customHeight="1" x14ac:dyDescent="0.3">
      <c r="B35" s="2"/>
      <c r="C35" s="2"/>
      <c r="E35" s="4"/>
      <c r="F35" s="4"/>
      <c r="G35" s="4"/>
      <c r="H35" s="2"/>
      <c r="U35" s="4"/>
      <c r="V35" s="4"/>
      <c r="X35" s="4"/>
    </row>
    <row r="36" spans="2:24" s="3" customFormat="1" ht="30" customHeight="1" x14ac:dyDescent="0.3">
      <c r="B36" s="2"/>
      <c r="C36" s="2"/>
      <c r="E36" s="4"/>
      <c r="F36" s="4"/>
      <c r="G36" s="4"/>
      <c r="H36" s="2"/>
      <c r="U36" s="4"/>
      <c r="V36" s="4"/>
      <c r="X36" s="4"/>
    </row>
    <row r="37" spans="2:24" s="3" customFormat="1" ht="30" customHeight="1" x14ac:dyDescent="0.3">
      <c r="B37" s="2"/>
      <c r="C37" s="2"/>
      <c r="E37" s="4"/>
      <c r="F37" s="4"/>
      <c r="G37" s="4"/>
      <c r="H37" s="2"/>
      <c r="U37" s="4"/>
      <c r="V37" s="4"/>
      <c r="X37" s="4"/>
    </row>
    <row r="38" spans="2:24" s="3" customFormat="1" ht="30" customHeight="1" x14ac:dyDescent="0.3">
      <c r="B38" s="2"/>
      <c r="C38" s="2"/>
      <c r="E38" s="4"/>
      <c r="F38" s="4"/>
      <c r="G38" s="4"/>
      <c r="H38" s="2"/>
      <c r="U38" s="4"/>
      <c r="V38" s="4"/>
      <c r="X38" s="4"/>
    </row>
    <row r="39" spans="2:24" s="3" customFormat="1" ht="30" customHeight="1" x14ac:dyDescent="0.3">
      <c r="B39" s="2"/>
      <c r="C39" s="2"/>
      <c r="E39" s="4"/>
      <c r="F39" s="4"/>
      <c r="G39" s="4"/>
      <c r="H39" s="2"/>
      <c r="U39" s="4"/>
      <c r="V39" s="4"/>
      <c r="X39" s="4"/>
    </row>
    <row r="40" spans="2:24" s="3" customFormat="1" ht="30" customHeight="1" x14ac:dyDescent="0.3">
      <c r="B40" s="2"/>
      <c r="C40" s="2"/>
      <c r="E40" s="4"/>
      <c r="F40" s="4"/>
      <c r="G40" s="4"/>
      <c r="H40" s="2"/>
      <c r="U40" s="4"/>
      <c r="V40" s="4"/>
      <c r="X40" s="4"/>
    </row>
  </sheetData>
  <autoFilter ref="A3:Z40" xr:uid="{F56D1C5C-316D-4C1E-ACF4-D54CD57FC5B6}"/>
  <mergeCells count="20">
    <mergeCell ref="W1:W2"/>
    <mergeCell ref="X1:X2"/>
    <mergeCell ref="M1:M2"/>
    <mergeCell ref="N1:Q1"/>
    <mergeCell ref="R1:S1"/>
    <mergeCell ref="T1:T2"/>
    <mergeCell ref="U1:U2"/>
    <mergeCell ref="V1:V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honeticPr fontId="8" type="noConversion"/>
  <pageMargins left="0.70866141732283472" right="0.51181102362204722" top="0.55118110236220474" bottom="0.55118110236220474" header="0.31496062992125984" footer="0.31496062992125984"/>
  <pageSetup paperSize="8" scale="80" fitToHeight="0" orientation="landscape" r:id="rId1"/>
  <headerFooter>
    <oddFooter>&amp;R&amp;10PAGE &amp;P OF &amp;N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50AC-400B-442D-A2F2-E4553487A7D1}">
  <dimension ref="A1:Z124"/>
  <sheetViews>
    <sheetView view="pageBreakPreview" topLeftCell="A54" zoomScaleNormal="70" zoomScaleSheetLayoutView="100" workbookViewId="0">
      <selection activeCell="G70" sqref="G70"/>
    </sheetView>
  </sheetViews>
  <sheetFormatPr defaultColWidth="9.08203125" defaultRowHeight="12.5" x14ac:dyDescent="0.3"/>
  <cols>
    <col min="1" max="1" width="5.75" style="1" customWidth="1"/>
    <col min="2" max="2" width="7.25" style="2" customWidth="1"/>
    <col min="3" max="3" width="13" style="2" customWidth="1"/>
    <col min="4" max="4" width="12.08203125" style="3" customWidth="1"/>
    <col min="5" max="5" width="25.58203125" style="2" customWidth="1"/>
    <col min="6" max="6" width="10.83203125" style="4" customWidth="1"/>
    <col min="7" max="7" width="13.58203125" style="4" customWidth="1"/>
    <col min="8" max="8" width="9.25" style="2" customWidth="1"/>
    <col min="9" max="9" width="9.08203125" style="3"/>
    <col min="10" max="10" width="10.83203125" style="3" customWidth="1"/>
    <col min="11" max="12" width="9.08203125" style="3"/>
    <col min="13" max="18" width="7.58203125" style="3" customWidth="1"/>
    <col min="19" max="19" width="7.58203125" style="4" customWidth="1"/>
    <col min="20" max="20" width="8.58203125" style="4" customWidth="1"/>
    <col min="21" max="21" width="9.08203125" style="4"/>
    <col min="22" max="22" width="9.08203125" style="3"/>
    <col min="23" max="23" width="9.08203125" style="5"/>
    <col min="24" max="25" width="9.08203125" style="3"/>
    <col min="26" max="16384" width="9.08203125" style="4"/>
  </cols>
  <sheetData>
    <row r="1" spans="1:25" ht="20.149999999999999" customHeight="1" x14ac:dyDescent="0.3">
      <c r="A1" s="134" t="s">
        <v>0</v>
      </c>
      <c r="B1" s="134" t="s">
        <v>1</v>
      </c>
      <c r="C1" s="134" t="s">
        <v>27</v>
      </c>
      <c r="D1" s="134" t="s">
        <v>2</v>
      </c>
      <c r="E1" s="134" t="s">
        <v>3</v>
      </c>
      <c r="F1" s="134" t="s">
        <v>4</v>
      </c>
      <c r="G1" s="134" t="s">
        <v>5</v>
      </c>
      <c r="H1" s="134" t="s">
        <v>6</v>
      </c>
      <c r="I1" s="134" t="s">
        <v>7</v>
      </c>
      <c r="J1" s="134" t="s">
        <v>8</v>
      </c>
      <c r="K1" s="134" t="s">
        <v>9</v>
      </c>
      <c r="L1" s="134" t="s">
        <v>10</v>
      </c>
      <c r="M1" s="137" t="s">
        <v>11</v>
      </c>
      <c r="N1" s="137"/>
      <c r="O1" s="137"/>
      <c r="P1" s="137"/>
      <c r="Q1" s="137" t="s">
        <v>12</v>
      </c>
      <c r="R1" s="137"/>
      <c r="S1" s="134" t="s">
        <v>13</v>
      </c>
      <c r="T1" s="134" t="s">
        <v>14</v>
      </c>
      <c r="U1" s="134" t="s">
        <v>15</v>
      </c>
      <c r="V1" s="138" t="s">
        <v>16</v>
      </c>
      <c r="W1" s="134" t="s">
        <v>17</v>
      </c>
    </row>
    <row r="2" spans="1:25" ht="20.149999999999999" customHeight="1" x14ac:dyDescent="0.3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8" t="s">
        <v>18</v>
      </c>
      <c r="N2" s="18" t="s">
        <v>19</v>
      </c>
      <c r="O2" s="18" t="s">
        <v>20</v>
      </c>
      <c r="P2" s="18" t="s">
        <v>21</v>
      </c>
      <c r="Q2" s="7">
        <v>0</v>
      </c>
      <c r="R2" s="7">
        <v>1</v>
      </c>
      <c r="S2" s="134"/>
      <c r="T2" s="134"/>
      <c r="U2" s="134"/>
      <c r="V2" s="138"/>
      <c r="W2" s="134"/>
      <c r="X2" s="3" t="s">
        <v>22</v>
      </c>
      <c r="Y2" s="3" t="s">
        <v>23</v>
      </c>
    </row>
    <row r="3" spans="1:25" ht="30" customHeight="1" x14ac:dyDescent="0.3">
      <c r="A3" s="138" t="s">
        <v>168</v>
      </c>
      <c r="B3" s="139"/>
      <c r="C3" s="139"/>
      <c r="D3" s="140"/>
      <c r="E3" s="17"/>
      <c r="F3" s="17"/>
      <c r="G3" s="17"/>
      <c r="H3" s="17"/>
      <c r="I3" s="17"/>
      <c r="J3" s="17"/>
      <c r="K3" s="17"/>
      <c r="L3" s="17"/>
      <c r="M3" s="18"/>
      <c r="N3" s="18"/>
      <c r="O3" s="18"/>
      <c r="P3" s="18"/>
      <c r="Q3" s="7"/>
      <c r="R3" s="7"/>
      <c r="S3" s="17"/>
      <c r="T3" s="17"/>
      <c r="U3" s="17"/>
      <c r="V3" s="17"/>
      <c r="W3" s="17"/>
    </row>
    <row r="4" spans="1:25" ht="25" x14ac:dyDescent="0.3">
      <c r="A4" s="14">
        <v>1</v>
      </c>
      <c r="B4" s="15" t="s">
        <v>161</v>
      </c>
      <c r="C4" s="15" t="s">
        <v>45</v>
      </c>
      <c r="D4" s="15" t="s">
        <v>46</v>
      </c>
      <c r="E4" s="15" t="s">
        <v>44</v>
      </c>
      <c r="F4" s="19" t="s">
        <v>42</v>
      </c>
      <c r="G4" s="19" t="s">
        <v>39</v>
      </c>
      <c r="H4" s="14">
        <v>2</v>
      </c>
      <c r="I4" s="14" t="s">
        <v>29</v>
      </c>
      <c r="J4" s="14" t="s">
        <v>31</v>
      </c>
      <c r="K4" s="14"/>
      <c r="L4" s="14" t="s">
        <v>43</v>
      </c>
      <c r="M4" s="14"/>
      <c r="N4" s="14"/>
      <c r="O4" s="14"/>
      <c r="P4" s="14"/>
      <c r="Q4" s="14"/>
      <c r="R4" s="14"/>
      <c r="S4" s="5"/>
      <c r="T4" s="5"/>
      <c r="U4" s="5"/>
      <c r="V4" s="14"/>
    </row>
    <row r="5" spans="1:25" ht="25.5" customHeight="1" x14ac:dyDescent="0.3">
      <c r="A5" s="14">
        <f>A4+1</f>
        <v>2</v>
      </c>
      <c r="B5" s="15" t="s">
        <v>161</v>
      </c>
      <c r="C5" s="15" t="s">
        <v>50</v>
      </c>
      <c r="D5" s="15" t="s">
        <v>51</v>
      </c>
      <c r="E5" s="15" t="s">
        <v>52</v>
      </c>
      <c r="F5" s="19" t="s">
        <v>42</v>
      </c>
      <c r="G5" s="19" t="s">
        <v>34</v>
      </c>
      <c r="H5" s="14">
        <v>2</v>
      </c>
      <c r="I5" s="14" t="s">
        <v>25</v>
      </c>
      <c r="J5" s="14" t="s">
        <v>30</v>
      </c>
      <c r="K5" s="14"/>
      <c r="L5" s="14"/>
      <c r="M5" s="14"/>
      <c r="N5" s="14"/>
      <c r="O5" s="14"/>
      <c r="P5" s="14"/>
      <c r="Q5" s="14">
        <v>0</v>
      </c>
      <c r="R5" s="14">
        <v>100</v>
      </c>
      <c r="S5" s="14" t="s">
        <v>55</v>
      </c>
      <c r="T5" s="5"/>
      <c r="U5" s="5"/>
      <c r="V5" s="14"/>
    </row>
    <row r="6" spans="1:25" ht="25" x14ac:dyDescent="0.3">
      <c r="A6" s="14">
        <f t="shared" ref="A6:A54" si="0">A5+1</f>
        <v>3</v>
      </c>
      <c r="B6" s="15" t="s">
        <v>161</v>
      </c>
      <c r="C6" s="15" t="s">
        <v>53</v>
      </c>
      <c r="D6" s="15" t="s">
        <v>51</v>
      </c>
      <c r="E6" s="15" t="s">
        <v>54</v>
      </c>
      <c r="F6" s="19" t="s">
        <v>42</v>
      </c>
      <c r="G6" s="19" t="s">
        <v>34</v>
      </c>
      <c r="H6" s="14">
        <v>2</v>
      </c>
      <c r="I6" s="14" t="s">
        <v>26</v>
      </c>
      <c r="J6" s="14" t="s">
        <v>30</v>
      </c>
      <c r="K6" s="14"/>
      <c r="L6" s="14"/>
      <c r="M6" s="14"/>
      <c r="N6" s="14"/>
      <c r="O6" s="14"/>
      <c r="P6" s="14"/>
      <c r="Q6" s="14">
        <v>0</v>
      </c>
      <c r="R6" s="14">
        <v>100</v>
      </c>
      <c r="S6" s="14" t="s">
        <v>55</v>
      </c>
      <c r="T6" s="5"/>
      <c r="U6" s="5"/>
      <c r="V6" s="14"/>
    </row>
    <row r="7" spans="1:25" ht="25" x14ac:dyDescent="0.3">
      <c r="A7" s="14">
        <f t="shared" si="0"/>
        <v>4</v>
      </c>
      <c r="B7" s="15" t="s">
        <v>161</v>
      </c>
      <c r="C7" s="15" t="s">
        <v>72</v>
      </c>
      <c r="D7" s="15" t="s">
        <v>42</v>
      </c>
      <c r="E7" s="15" t="s">
        <v>64</v>
      </c>
      <c r="F7" s="19" t="s">
        <v>42</v>
      </c>
      <c r="G7" s="19" t="s">
        <v>39</v>
      </c>
      <c r="H7" s="14">
        <v>2</v>
      </c>
      <c r="I7" s="14" t="s">
        <v>29</v>
      </c>
      <c r="J7" s="14" t="s">
        <v>31</v>
      </c>
      <c r="K7" s="14"/>
      <c r="L7" s="14" t="s">
        <v>66</v>
      </c>
      <c r="M7" s="14"/>
      <c r="N7" s="14"/>
      <c r="O7" s="14"/>
      <c r="P7" s="14"/>
      <c r="Q7" s="14"/>
      <c r="R7" s="14"/>
      <c r="S7" s="14"/>
      <c r="T7" s="5"/>
      <c r="U7" s="5"/>
      <c r="V7" s="14"/>
    </row>
    <row r="8" spans="1:25" ht="25" x14ac:dyDescent="0.3">
      <c r="A8" s="14">
        <f t="shared" si="0"/>
        <v>5</v>
      </c>
      <c r="B8" s="15" t="s">
        <v>161</v>
      </c>
      <c r="C8" s="15" t="s">
        <v>73</v>
      </c>
      <c r="D8" s="15" t="s">
        <v>42</v>
      </c>
      <c r="E8" s="15" t="s">
        <v>65</v>
      </c>
      <c r="F8" s="19" t="s">
        <v>42</v>
      </c>
      <c r="G8" s="19" t="s">
        <v>39</v>
      </c>
      <c r="H8" s="14">
        <v>2</v>
      </c>
      <c r="I8" s="14" t="s">
        <v>29</v>
      </c>
      <c r="J8" s="14" t="s">
        <v>31</v>
      </c>
      <c r="K8" s="14"/>
      <c r="L8" s="14" t="s">
        <v>67</v>
      </c>
      <c r="M8" s="14"/>
      <c r="N8" s="14"/>
      <c r="O8" s="14"/>
      <c r="P8" s="14"/>
      <c r="Q8" s="14"/>
      <c r="R8" s="14"/>
      <c r="S8" s="14"/>
      <c r="T8" s="5"/>
      <c r="U8" s="5"/>
      <c r="V8" s="14"/>
    </row>
    <row r="9" spans="1:25" ht="25" x14ac:dyDescent="0.3">
      <c r="A9" s="14">
        <f t="shared" si="0"/>
        <v>6</v>
      </c>
      <c r="B9" s="15" t="s">
        <v>161</v>
      </c>
      <c r="C9" s="15" t="s">
        <v>56</v>
      </c>
      <c r="D9" s="15" t="s">
        <v>57</v>
      </c>
      <c r="E9" s="15" t="s">
        <v>61</v>
      </c>
      <c r="F9" s="19" t="s">
        <v>62</v>
      </c>
      <c r="G9" s="19" t="s">
        <v>63</v>
      </c>
      <c r="H9" s="14">
        <v>2</v>
      </c>
      <c r="I9" s="14" t="s">
        <v>29</v>
      </c>
      <c r="J9" s="14" t="s">
        <v>31</v>
      </c>
      <c r="K9" s="14"/>
      <c r="L9" s="14" t="s">
        <v>43</v>
      </c>
      <c r="M9" s="14"/>
      <c r="N9" s="14"/>
      <c r="O9" s="14"/>
      <c r="P9" s="14"/>
      <c r="Q9" s="14"/>
      <c r="R9" s="14"/>
      <c r="S9" s="5"/>
      <c r="T9" s="5"/>
      <c r="U9" s="5"/>
      <c r="V9" s="14"/>
    </row>
    <row r="10" spans="1:25" ht="25" x14ac:dyDescent="0.3">
      <c r="A10" s="14">
        <f t="shared" si="0"/>
        <v>7</v>
      </c>
      <c r="B10" s="15" t="s">
        <v>161</v>
      </c>
      <c r="C10" s="15" t="s">
        <v>58</v>
      </c>
      <c r="D10" s="15" t="s">
        <v>59</v>
      </c>
      <c r="E10" s="15" t="s">
        <v>52</v>
      </c>
      <c r="F10" s="19" t="s">
        <v>62</v>
      </c>
      <c r="G10" s="19" t="s">
        <v>35</v>
      </c>
      <c r="H10" s="14">
        <v>2</v>
      </c>
      <c r="I10" s="14" t="s">
        <v>25</v>
      </c>
      <c r="J10" s="14" t="s">
        <v>30</v>
      </c>
      <c r="K10" s="14"/>
      <c r="L10" s="14"/>
      <c r="M10" s="14"/>
      <c r="N10" s="14"/>
      <c r="O10" s="14"/>
      <c r="P10" s="14"/>
      <c r="Q10" s="14">
        <v>0</v>
      </c>
      <c r="R10" s="14">
        <v>100</v>
      </c>
      <c r="S10" s="14" t="s">
        <v>55</v>
      </c>
      <c r="T10" s="5"/>
      <c r="U10" s="5"/>
      <c r="V10" s="14"/>
    </row>
    <row r="11" spans="1:25" ht="25" x14ac:dyDescent="0.3">
      <c r="A11" s="14">
        <f t="shared" si="0"/>
        <v>8</v>
      </c>
      <c r="B11" s="15" t="s">
        <v>161</v>
      </c>
      <c r="C11" s="15" t="s">
        <v>60</v>
      </c>
      <c r="D11" s="15" t="s">
        <v>59</v>
      </c>
      <c r="E11" s="15" t="s">
        <v>54</v>
      </c>
      <c r="F11" s="19" t="s">
        <v>62</v>
      </c>
      <c r="G11" s="19" t="s">
        <v>35</v>
      </c>
      <c r="H11" s="14">
        <v>2</v>
      </c>
      <c r="I11" s="14" t="s">
        <v>26</v>
      </c>
      <c r="J11" s="14" t="s">
        <v>30</v>
      </c>
      <c r="K11" s="14"/>
      <c r="L11" s="14"/>
      <c r="M11" s="14"/>
      <c r="N11" s="14"/>
      <c r="O11" s="14"/>
      <c r="P11" s="14"/>
      <c r="Q11" s="14">
        <v>0</v>
      </c>
      <c r="R11" s="14">
        <v>100</v>
      </c>
      <c r="S11" s="14" t="s">
        <v>55</v>
      </c>
      <c r="T11" s="5"/>
      <c r="U11" s="5"/>
      <c r="V11" s="14"/>
    </row>
    <row r="12" spans="1:25" ht="25" x14ac:dyDescent="0.3">
      <c r="A12" s="14">
        <f t="shared" si="0"/>
        <v>9</v>
      </c>
      <c r="B12" s="15" t="s">
        <v>161</v>
      </c>
      <c r="C12" s="15" t="s">
        <v>70</v>
      </c>
      <c r="D12" s="15" t="s">
        <v>62</v>
      </c>
      <c r="E12" s="15" t="s">
        <v>68</v>
      </c>
      <c r="F12" s="19" t="s">
        <v>62</v>
      </c>
      <c r="G12" s="19" t="s">
        <v>39</v>
      </c>
      <c r="H12" s="14">
        <v>2</v>
      </c>
      <c r="I12" s="14" t="s">
        <v>29</v>
      </c>
      <c r="J12" s="14" t="s">
        <v>31</v>
      </c>
      <c r="K12" s="14"/>
      <c r="L12" s="14" t="s">
        <v>66</v>
      </c>
      <c r="M12" s="14"/>
      <c r="N12" s="14"/>
      <c r="O12" s="14"/>
      <c r="P12" s="14"/>
      <c r="Q12" s="14"/>
      <c r="R12" s="14"/>
      <c r="S12" s="14"/>
      <c r="T12" s="5"/>
      <c r="U12" s="5"/>
      <c r="V12" s="14"/>
    </row>
    <row r="13" spans="1:25" ht="25" x14ac:dyDescent="0.3">
      <c r="A13" s="14">
        <f t="shared" si="0"/>
        <v>10</v>
      </c>
      <c r="B13" s="15" t="s">
        <v>161</v>
      </c>
      <c r="C13" s="15" t="s">
        <v>71</v>
      </c>
      <c r="D13" s="15" t="s">
        <v>62</v>
      </c>
      <c r="E13" s="15" t="s">
        <v>69</v>
      </c>
      <c r="F13" s="19" t="s">
        <v>62</v>
      </c>
      <c r="G13" s="19" t="s">
        <v>39</v>
      </c>
      <c r="H13" s="14">
        <v>2</v>
      </c>
      <c r="I13" s="14" t="s">
        <v>29</v>
      </c>
      <c r="J13" s="14" t="s">
        <v>31</v>
      </c>
      <c r="K13" s="14"/>
      <c r="L13" s="14" t="s">
        <v>67</v>
      </c>
      <c r="M13" s="14"/>
      <c r="N13" s="14"/>
      <c r="O13" s="14"/>
      <c r="P13" s="14"/>
      <c r="Q13" s="14"/>
      <c r="R13" s="14"/>
      <c r="S13" s="14"/>
      <c r="T13" s="5"/>
      <c r="U13" s="5"/>
      <c r="V13" s="14"/>
    </row>
    <row r="14" spans="1:25" ht="25" customHeight="1" x14ac:dyDescent="0.3">
      <c r="A14" s="14">
        <f t="shared" si="0"/>
        <v>11</v>
      </c>
      <c r="B14" s="15" t="s">
        <v>161</v>
      </c>
      <c r="C14" s="15" t="s">
        <v>36</v>
      </c>
      <c r="D14" s="15" t="s">
        <v>36</v>
      </c>
      <c r="E14" s="15" t="s">
        <v>38</v>
      </c>
      <c r="F14" s="19" t="s">
        <v>37</v>
      </c>
      <c r="G14" s="19" t="s">
        <v>39</v>
      </c>
      <c r="H14" s="14">
        <v>2</v>
      </c>
      <c r="I14" s="14" t="s">
        <v>29</v>
      </c>
      <c r="J14" s="14" t="s">
        <v>31</v>
      </c>
      <c r="K14" s="14" t="s">
        <v>40</v>
      </c>
      <c r="L14" s="14" t="s">
        <v>41</v>
      </c>
      <c r="M14" s="14"/>
      <c r="N14" s="14"/>
      <c r="O14" s="14"/>
      <c r="P14" s="14"/>
      <c r="Q14" s="14"/>
      <c r="R14" s="14"/>
      <c r="S14" s="5"/>
      <c r="T14" s="5"/>
      <c r="U14" s="5"/>
      <c r="V14" s="14"/>
    </row>
    <row r="15" spans="1:25" ht="25" customHeight="1" x14ac:dyDescent="0.3">
      <c r="A15" s="14">
        <f t="shared" si="0"/>
        <v>12</v>
      </c>
      <c r="B15" s="15" t="s">
        <v>161</v>
      </c>
      <c r="C15" s="15" t="s">
        <v>47</v>
      </c>
      <c r="D15" s="15" t="s">
        <v>47</v>
      </c>
      <c r="E15" s="15" t="s">
        <v>48</v>
      </c>
      <c r="F15" s="19" t="s">
        <v>37</v>
      </c>
      <c r="G15" s="19" t="s">
        <v>39</v>
      </c>
      <c r="H15" s="14">
        <v>2</v>
      </c>
      <c r="I15" s="14" t="s">
        <v>24</v>
      </c>
      <c r="J15" s="14" t="s">
        <v>31</v>
      </c>
      <c r="K15" s="14"/>
      <c r="L15" s="14" t="s">
        <v>49</v>
      </c>
      <c r="M15" s="14"/>
      <c r="N15" s="14"/>
      <c r="O15" s="14"/>
      <c r="P15" s="14"/>
      <c r="Q15" s="14"/>
      <c r="R15" s="14"/>
      <c r="S15" s="5"/>
      <c r="T15" s="5"/>
      <c r="U15" s="5"/>
      <c r="V15" s="14"/>
    </row>
    <row r="16" spans="1:25" ht="25" customHeight="1" x14ac:dyDescent="0.3">
      <c r="A16" s="14"/>
      <c r="B16" s="15"/>
      <c r="C16" s="15"/>
      <c r="D16" s="15"/>
      <c r="E16" s="15"/>
      <c r="F16" s="19"/>
      <c r="G16" s="19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5"/>
      <c r="T16" s="5"/>
      <c r="U16" s="5"/>
      <c r="V16" s="14"/>
    </row>
    <row r="17" spans="1:25" ht="25" x14ac:dyDescent="0.3">
      <c r="A17" s="14">
        <f>A15+1</f>
        <v>13</v>
      </c>
      <c r="B17" s="15" t="s">
        <v>161</v>
      </c>
      <c r="C17" s="15" t="s">
        <v>74</v>
      </c>
      <c r="D17" s="15" t="s">
        <v>75</v>
      </c>
      <c r="E17" s="15" t="s">
        <v>76</v>
      </c>
      <c r="F17" s="19" t="s">
        <v>77</v>
      </c>
      <c r="G17" s="19" t="s">
        <v>39</v>
      </c>
      <c r="H17" s="14">
        <v>2</v>
      </c>
      <c r="I17" s="14" t="s">
        <v>29</v>
      </c>
      <c r="J17" s="14" t="s">
        <v>31</v>
      </c>
      <c r="K17" s="14"/>
      <c r="L17" s="14" t="s">
        <v>43</v>
      </c>
      <c r="M17" s="14"/>
      <c r="N17" s="14"/>
      <c r="O17" s="14"/>
      <c r="P17" s="14"/>
      <c r="Q17" s="14"/>
      <c r="R17" s="14"/>
      <c r="S17" s="5"/>
      <c r="T17" s="5"/>
      <c r="U17" s="5"/>
      <c r="V17" s="14"/>
    </row>
    <row r="18" spans="1:25" ht="25" x14ac:dyDescent="0.3">
      <c r="A18" s="14">
        <f t="shared" si="0"/>
        <v>14</v>
      </c>
      <c r="B18" s="15" t="s">
        <v>161</v>
      </c>
      <c r="C18" s="15" t="s">
        <v>78</v>
      </c>
      <c r="D18" s="15" t="s">
        <v>79</v>
      </c>
      <c r="E18" s="15" t="s">
        <v>80</v>
      </c>
      <c r="F18" s="19" t="s">
        <v>77</v>
      </c>
      <c r="G18" s="19" t="s">
        <v>34</v>
      </c>
      <c r="H18" s="14">
        <v>2</v>
      </c>
      <c r="I18" s="14" t="s">
        <v>25</v>
      </c>
      <c r="J18" s="14" t="s">
        <v>30</v>
      </c>
      <c r="K18" s="14"/>
      <c r="L18" s="14"/>
      <c r="M18" s="14"/>
      <c r="N18" s="14"/>
      <c r="O18" s="14"/>
      <c r="P18" s="14"/>
      <c r="Q18" s="14">
        <v>0</v>
      </c>
      <c r="R18" s="14">
        <v>100</v>
      </c>
      <c r="S18" s="14" t="s">
        <v>55</v>
      </c>
      <c r="T18" s="5"/>
      <c r="U18" s="5"/>
      <c r="V18" s="14"/>
    </row>
    <row r="19" spans="1:25" ht="25" x14ac:dyDescent="0.3">
      <c r="A19" s="14">
        <f t="shared" si="0"/>
        <v>15</v>
      </c>
      <c r="B19" s="15" t="s">
        <v>161</v>
      </c>
      <c r="C19" s="15" t="s">
        <v>81</v>
      </c>
      <c r="D19" s="15" t="s">
        <v>79</v>
      </c>
      <c r="E19" s="15" t="s">
        <v>82</v>
      </c>
      <c r="F19" s="19" t="s">
        <v>77</v>
      </c>
      <c r="G19" s="19" t="s">
        <v>34</v>
      </c>
      <c r="H19" s="14">
        <v>2</v>
      </c>
      <c r="I19" s="14" t="s">
        <v>26</v>
      </c>
      <c r="J19" s="14" t="s">
        <v>30</v>
      </c>
      <c r="K19" s="14"/>
      <c r="L19" s="14"/>
      <c r="M19" s="14"/>
      <c r="N19" s="14"/>
      <c r="O19" s="14"/>
      <c r="P19" s="14"/>
      <c r="Q19" s="14">
        <v>0</v>
      </c>
      <c r="R19" s="14">
        <v>100</v>
      </c>
      <c r="S19" s="14" t="s">
        <v>55</v>
      </c>
      <c r="T19" s="5"/>
      <c r="U19" s="5"/>
      <c r="V19" s="14"/>
    </row>
    <row r="20" spans="1:25" ht="25" x14ac:dyDescent="0.3">
      <c r="A20" s="14">
        <f t="shared" si="0"/>
        <v>16</v>
      </c>
      <c r="B20" s="15" t="s">
        <v>161</v>
      </c>
      <c r="C20" s="15" t="s">
        <v>83</v>
      </c>
      <c r="D20" s="15" t="s">
        <v>77</v>
      </c>
      <c r="E20" s="15" t="s">
        <v>84</v>
      </c>
      <c r="F20" s="19" t="s">
        <v>77</v>
      </c>
      <c r="G20" s="19" t="s">
        <v>39</v>
      </c>
      <c r="H20" s="14">
        <v>2</v>
      </c>
      <c r="I20" s="14" t="s">
        <v>29</v>
      </c>
      <c r="J20" s="14" t="s">
        <v>31</v>
      </c>
      <c r="K20" s="14"/>
      <c r="L20" s="14" t="s">
        <v>66</v>
      </c>
      <c r="M20" s="14"/>
      <c r="N20" s="14"/>
      <c r="O20" s="14"/>
      <c r="P20" s="14"/>
      <c r="Q20" s="14"/>
      <c r="R20" s="14"/>
      <c r="S20" s="14"/>
      <c r="T20" s="5"/>
      <c r="U20" s="5"/>
      <c r="V20" s="14"/>
    </row>
    <row r="21" spans="1:25" s="5" customFormat="1" ht="25" x14ac:dyDescent="0.3">
      <c r="A21" s="14">
        <f t="shared" si="0"/>
        <v>17</v>
      </c>
      <c r="B21" s="15" t="s">
        <v>161</v>
      </c>
      <c r="C21" s="15" t="s">
        <v>85</v>
      </c>
      <c r="D21" s="15" t="s">
        <v>77</v>
      </c>
      <c r="E21" s="15" t="s">
        <v>86</v>
      </c>
      <c r="F21" s="19" t="s">
        <v>77</v>
      </c>
      <c r="G21" s="19" t="s">
        <v>39</v>
      </c>
      <c r="H21" s="14">
        <v>2</v>
      </c>
      <c r="I21" s="14" t="s">
        <v>29</v>
      </c>
      <c r="J21" s="14" t="s">
        <v>31</v>
      </c>
      <c r="K21" s="14"/>
      <c r="L21" s="14" t="s">
        <v>67</v>
      </c>
      <c r="M21" s="14"/>
      <c r="N21" s="14"/>
      <c r="O21" s="14"/>
      <c r="P21" s="14"/>
      <c r="Q21" s="14"/>
      <c r="R21" s="14"/>
      <c r="S21" s="14"/>
      <c r="V21" s="14"/>
      <c r="X21" s="3"/>
      <c r="Y21" s="3"/>
    </row>
    <row r="22" spans="1:25" s="5" customFormat="1" ht="25" x14ac:dyDescent="0.3">
      <c r="A22" s="14">
        <f t="shared" si="0"/>
        <v>18</v>
      </c>
      <c r="B22" s="15" t="s">
        <v>161</v>
      </c>
      <c r="C22" s="15" t="s">
        <v>87</v>
      </c>
      <c r="D22" s="15" t="s">
        <v>88</v>
      </c>
      <c r="E22" s="15" t="s">
        <v>89</v>
      </c>
      <c r="F22" s="19" t="s">
        <v>90</v>
      </c>
      <c r="G22" s="19" t="s">
        <v>63</v>
      </c>
      <c r="H22" s="14">
        <v>2</v>
      </c>
      <c r="I22" s="14" t="s">
        <v>29</v>
      </c>
      <c r="J22" s="14" t="s">
        <v>31</v>
      </c>
      <c r="K22" s="14"/>
      <c r="L22" s="14" t="s">
        <v>43</v>
      </c>
      <c r="M22" s="14"/>
      <c r="N22" s="14"/>
      <c r="O22" s="14"/>
      <c r="P22" s="14"/>
      <c r="Q22" s="14"/>
      <c r="R22" s="14"/>
      <c r="V22" s="14"/>
      <c r="X22" s="3"/>
      <c r="Y22" s="3"/>
    </row>
    <row r="23" spans="1:25" s="5" customFormat="1" ht="25" x14ac:dyDescent="0.3">
      <c r="A23" s="14">
        <f t="shared" si="0"/>
        <v>19</v>
      </c>
      <c r="B23" s="15" t="s">
        <v>161</v>
      </c>
      <c r="C23" s="15" t="s">
        <v>91</v>
      </c>
      <c r="D23" s="15" t="s">
        <v>92</v>
      </c>
      <c r="E23" s="15" t="s">
        <v>80</v>
      </c>
      <c r="F23" s="19" t="s">
        <v>90</v>
      </c>
      <c r="G23" s="19" t="s">
        <v>35</v>
      </c>
      <c r="H23" s="14">
        <v>2</v>
      </c>
      <c r="I23" s="14" t="s">
        <v>25</v>
      </c>
      <c r="J23" s="14" t="s">
        <v>30</v>
      </c>
      <c r="K23" s="14"/>
      <c r="L23" s="14"/>
      <c r="M23" s="14"/>
      <c r="N23" s="14"/>
      <c r="O23" s="14"/>
      <c r="P23" s="14"/>
      <c r="Q23" s="14">
        <v>0</v>
      </c>
      <c r="R23" s="14">
        <v>100</v>
      </c>
      <c r="S23" s="14" t="s">
        <v>55</v>
      </c>
      <c r="V23" s="14"/>
      <c r="X23" s="3"/>
      <c r="Y23" s="3"/>
    </row>
    <row r="24" spans="1:25" s="5" customFormat="1" ht="25" x14ac:dyDescent="0.3">
      <c r="A24" s="14">
        <f t="shared" si="0"/>
        <v>20</v>
      </c>
      <c r="B24" s="15" t="s">
        <v>161</v>
      </c>
      <c r="C24" s="15" t="s">
        <v>93</v>
      </c>
      <c r="D24" s="15" t="s">
        <v>92</v>
      </c>
      <c r="E24" s="15" t="s">
        <v>82</v>
      </c>
      <c r="F24" s="19" t="s">
        <v>90</v>
      </c>
      <c r="G24" s="19" t="s">
        <v>35</v>
      </c>
      <c r="H24" s="14">
        <v>2</v>
      </c>
      <c r="I24" s="14" t="s">
        <v>26</v>
      </c>
      <c r="J24" s="14" t="s">
        <v>30</v>
      </c>
      <c r="K24" s="14"/>
      <c r="L24" s="14"/>
      <c r="M24" s="14"/>
      <c r="N24" s="14"/>
      <c r="O24" s="14"/>
      <c r="P24" s="14"/>
      <c r="Q24" s="14">
        <v>0</v>
      </c>
      <c r="R24" s="14">
        <v>100</v>
      </c>
      <c r="S24" s="14" t="s">
        <v>55</v>
      </c>
      <c r="V24" s="14"/>
      <c r="X24" s="3"/>
      <c r="Y24" s="3"/>
    </row>
    <row r="25" spans="1:25" s="5" customFormat="1" ht="25" x14ac:dyDescent="0.3">
      <c r="A25" s="14">
        <f t="shared" si="0"/>
        <v>21</v>
      </c>
      <c r="B25" s="15" t="s">
        <v>161</v>
      </c>
      <c r="C25" s="15" t="s">
        <v>94</v>
      </c>
      <c r="D25" s="15" t="s">
        <v>90</v>
      </c>
      <c r="E25" s="15" t="s">
        <v>95</v>
      </c>
      <c r="F25" s="19" t="s">
        <v>90</v>
      </c>
      <c r="G25" s="19" t="s">
        <v>39</v>
      </c>
      <c r="H25" s="14">
        <v>2</v>
      </c>
      <c r="I25" s="14" t="s">
        <v>29</v>
      </c>
      <c r="J25" s="14" t="s">
        <v>31</v>
      </c>
      <c r="K25" s="14"/>
      <c r="L25" s="14" t="s">
        <v>66</v>
      </c>
      <c r="M25" s="14"/>
      <c r="N25" s="14"/>
      <c r="O25" s="14"/>
      <c r="P25" s="14"/>
      <c r="Q25" s="14"/>
      <c r="R25" s="14"/>
      <c r="S25" s="14"/>
      <c r="V25" s="14"/>
      <c r="X25" s="3"/>
      <c r="Y25" s="3"/>
    </row>
    <row r="26" spans="1:25" s="5" customFormat="1" ht="25" x14ac:dyDescent="0.3">
      <c r="A26" s="14">
        <f t="shared" si="0"/>
        <v>22</v>
      </c>
      <c r="B26" s="15" t="s">
        <v>161</v>
      </c>
      <c r="C26" s="15" t="s">
        <v>96</v>
      </c>
      <c r="D26" s="15" t="s">
        <v>90</v>
      </c>
      <c r="E26" s="15" t="s">
        <v>97</v>
      </c>
      <c r="F26" s="19" t="s">
        <v>90</v>
      </c>
      <c r="G26" s="19" t="s">
        <v>39</v>
      </c>
      <c r="H26" s="14">
        <v>2</v>
      </c>
      <c r="I26" s="14" t="s">
        <v>29</v>
      </c>
      <c r="J26" s="14" t="s">
        <v>31</v>
      </c>
      <c r="K26" s="14"/>
      <c r="L26" s="14" t="s">
        <v>67</v>
      </c>
      <c r="M26" s="14"/>
      <c r="N26" s="14"/>
      <c r="O26" s="14"/>
      <c r="P26" s="14"/>
      <c r="Q26" s="14"/>
      <c r="R26" s="14"/>
      <c r="S26" s="14"/>
      <c r="V26" s="14"/>
      <c r="X26" s="3"/>
      <c r="Y26" s="3"/>
    </row>
    <row r="27" spans="1:25" s="5" customFormat="1" ht="25" x14ac:dyDescent="0.3">
      <c r="A27" s="14">
        <f t="shared" si="0"/>
        <v>23</v>
      </c>
      <c r="B27" s="15" t="s">
        <v>161</v>
      </c>
      <c r="C27" s="15" t="s">
        <v>98</v>
      </c>
      <c r="D27" s="15" t="s">
        <v>98</v>
      </c>
      <c r="E27" s="15" t="s">
        <v>99</v>
      </c>
      <c r="F27" s="19" t="s">
        <v>100</v>
      </c>
      <c r="G27" s="19" t="s">
        <v>39</v>
      </c>
      <c r="H27" s="14">
        <v>2</v>
      </c>
      <c r="I27" s="14" t="s">
        <v>29</v>
      </c>
      <c r="J27" s="14" t="s">
        <v>31</v>
      </c>
      <c r="K27" s="14" t="s">
        <v>40</v>
      </c>
      <c r="L27" s="14" t="s">
        <v>41</v>
      </c>
      <c r="M27" s="14"/>
      <c r="N27" s="14"/>
      <c r="O27" s="14"/>
      <c r="P27" s="14"/>
      <c r="Q27" s="14"/>
      <c r="R27" s="14"/>
      <c r="V27" s="14"/>
      <c r="X27" s="3"/>
      <c r="Y27" s="3"/>
    </row>
    <row r="28" spans="1:25" s="5" customFormat="1" ht="25" x14ac:dyDescent="0.3">
      <c r="A28" s="14">
        <f t="shared" si="0"/>
        <v>24</v>
      </c>
      <c r="B28" s="15" t="s">
        <v>161</v>
      </c>
      <c r="C28" s="15" t="s">
        <v>101</v>
      </c>
      <c r="D28" s="15" t="s">
        <v>101</v>
      </c>
      <c r="E28" s="15" t="s">
        <v>102</v>
      </c>
      <c r="F28" s="19" t="s">
        <v>100</v>
      </c>
      <c r="G28" s="19" t="s">
        <v>39</v>
      </c>
      <c r="H28" s="14">
        <v>2</v>
      </c>
      <c r="I28" s="14" t="s">
        <v>24</v>
      </c>
      <c r="J28" s="14" t="s">
        <v>31</v>
      </c>
      <c r="K28" s="14"/>
      <c r="L28" s="14" t="s">
        <v>49</v>
      </c>
      <c r="M28" s="14"/>
      <c r="N28" s="14"/>
      <c r="O28" s="14"/>
      <c r="P28" s="14"/>
      <c r="Q28" s="14"/>
      <c r="R28" s="14"/>
      <c r="V28" s="14"/>
      <c r="X28" s="3"/>
      <c r="Y28" s="3"/>
    </row>
    <row r="29" spans="1:25" ht="25" customHeight="1" x14ac:dyDescent="0.3">
      <c r="A29" s="14"/>
      <c r="B29" s="15"/>
      <c r="C29" s="15"/>
      <c r="D29" s="15"/>
      <c r="E29" s="15"/>
      <c r="F29" s="19"/>
      <c r="G29" s="19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5"/>
      <c r="T29" s="5"/>
      <c r="U29" s="5"/>
      <c r="V29" s="14"/>
    </row>
    <row r="30" spans="1:25" s="5" customFormat="1" ht="25" x14ac:dyDescent="0.3">
      <c r="A30" s="14">
        <f>A28+1</f>
        <v>25</v>
      </c>
      <c r="B30" s="15" t="s">
        <v>161</v>
      </c>
      <c r="C30" s="15" t="s">
        <v>103</v>
      </c>
      <c r="D30" s="15" t="s">
        <v>104</v>
      </c>
      <c r="E30" s="15" t="s">
        <v>105</v>
      </c>
      <c r="F30" s="19" t="s">
        <v>106</v>
      </c>
      <c r="G30" s="19" t="s">
        <v>39</v>
      </c>
      <c r="H30" s="14">
        <v>2</v>
      </c>
      <c r="I30" s="14" t="s">
        <v>29</v>
      </c>
      <c r="J30" s="14" t="s">
        <v>31</v>
      </c>
      <c r="K30" s="14"/>
      <c r="L30" s="14" t="s">
        <v>43</v>
      </c>
      <c r="M30" s="14"/>
      <c r="N30" s="14"/>
      <c r="O30" s="14"/>
      <c r="P30" s="14"/>
      <c r="Q30" s="14"/>
      <c r="R30" s="14"/>
      <c r="V30" s="14"/>
      <c r="X30" s="3"/>
      <c r="Y30" s="3"/>
    </row>
    <row r="31" spans="1:25" s="5" customFormat="1" ht="25" x14ac:dyDescent="0.3">
      <c r="A31" s="14">
        <f t="shared" si="0"/>
        <v>26</v>
      </c>
      <c r="B31" s="15" t="s">
        <v>161</v>
      </c>
      <c r="C31" s="15" t="s">
        <v>107</v>
      </c>
      <c r="D31" s="15" t="s">
        <v>108</v>
      </c>
      <c r="E31" s="15" t="s">
        <v>109</v>
      </c>
      <c r="F31" s="19" t="s">
        <v>106</v>
      </c>
      <c r="G31" s="19" t="s">
        <v>34</v>
      </c>
      <c r="H31" s="14">
        <v>2</v>
      </c>
      <c r="I31" s="14" t="s">
        <v>25</v>
      </c>
      <c r="J31" s="14" t="s">
        <v>30</v>
      </c>
      <c r="K31" s="14"/>
      <c r="L31" s="14"/>
      <c r="M31" s="14"/>
      <c r="N31" s="14"/>
      <c r="O31" s="14"/>
      <c r="P31" s="14"/>
      <c r="Q31" s="14">
        <v>0</v>
      </c>
      <c r="R31" s="14">
        <v>100</v>
      </c>
      <c r="S31" s="14" t="s">
        <v>55</v>
      </c>
      <c r="V31" s="14"/>
      <c r="X31" s="3"/>
      <c r="Y31" s="3"/>
    </row>
    <row r="32" spans="1:25" s="5" customFormat="1" ht="25" x14ac:dyDescent="0.3">
      <c r="A32" s="14">
        <f t="shared" si="0"/>
        <v>27</v>
      </c>
      <c r="B32" s="15" t="s">
        <v>161</v>
      </c>
      <c r="C32" s="15" t="s">
        <v>110</v>
      </c>
      <c r="D32" s="15" t="s">
        <v>108</v>
      </c>
      <c r="E32" s="15" t="s">
        <v>111</v>
      </c>
      <c r="F32" s="19" t="s">
        <v>106</v>
      </c>
      <c r="G32" s="19" t="s">
        <v>34</v>
      </c>
      <c r="H32" s="14">
        <v>2</v>
      </c>
      <c r="I32" s="14" t="s">
        <v>26</v>
      </c>
      <c r="J32" s="14" t="s">
        <v>30</v>
      </c>
      <c r="K32" s="14"/>
      <c r="L32" s="14"/>
      <c r="M32" s="14"/>
      <c r="N32" s="14"/>
      <c r="O32" s="14"/>
      <c r="P32" s="14"/>
      <c r="Q32" s="14">
        <v>0</v>
      </c>
      <c r="R32" s="14">
        <v>100</v>
      </c>
      <c r="S32" s="14" t="s">
        <v>55</v>
      </c>
      <c r="V32" s="14"/>
      <c r="X32" s="3"/>
      <c r="Y32" s="3"/>
    </row>
    <row r="33" spans="1:25" s="5" customFormat="1" ht="25" x14ac:dyDescent="0.3">
      <c r="A33" s="14">
        <f t="shared" si="0"/>
        <v>28</v>
      </c>
      <c r="B33" s="15" t="s">
        <v>161</v>
      </c>
      <c r="C33" s="15" t="s">
        <v>112</v>
      </c>
      <c r="D33" s="15" t="s">
        <v>106</v>
      </c>
      <c r="E33" s="15" t="s">
        <v>113</v>
      </c>
      <c r="F33" s="19" t="s">
        <v>106</v>
      </c>
      <c r="G33" s="19" t="s">
        <v>39</v>
      </c>
      <c r="H33" s="14">
        <v>2</v>
      </c>
      <c r="I33" s="14" t="s">
        <v>29</v>
      </c>
      <c r="J33" s="14" t="s">
        <v>31</v>
      </c>
      <c r="K33" s="14"/>
      <c r="L33" s="14" t="s">
        <v>66</v>
      </c>
      <c r="M33" s="14"/>
      <c r="N33" s="14"/>
      <c r="O33" s="14"/>
      <c r="P33" s="14"/>
      <c r="Q33" s="14"/>
      <c r="R33" s="14"/>
      <c r="S33" s="14"/>
      <c r="V33" s="14"/>
      <c r="X33" s="3"/>
      <c r="Y33" s="3"/>
    </row>
    <row r="34" spans="1:25" s="5" customFormat="1" ht="25" x14ac:dyDescent="0.3">
      <c r="A34" s="14">
        <f t="shared" si="0"/>
        <v>29</v>
      </c>
      <c r="B34" s="15" t="s">
        <v>161</v>
      </c>
      <c r="C34" s="15" t="s">
        <v>114</v>
      </c>
      <c r="D34" s="15" t="s">
        <v>106</v>
      </c>
      <c r="E34" s="15" t="s">
        <v>115</v>
      </c>
      <c r="F34" s="19" t="s">
        <v>106</v>
      </c>
      <c r="G34" s="19" t="s">
        <v>39</v>
      </c>
      <c r="H34" s="14">
        <v>2</v>
      </c>
      <c r="I34" s="14" t="s">
        <v>29</v>
      </c>
      <c r="J34" s="14" t="s">
        <v>31</v>
      </c>
      <c r="K34" s="14"/>
      <c r="L34" s="14" t="s">
        <v>67</v>
      </c>
      <c r="M34" s="14"/>
      <c r="N34" s="14"/>
      <c r="O34" s="14"/>
      <c r="P34" s="14"/>
      <c r="Q34" s="14"/>
      <c r="R34" s="14"/>
      <c r="S34" s="14"/>
      <c r="V34" s="14"/>
      <c r="X34" s="3"/>
      <c r="Y34" s="3"/>
    </row>
    <row r="35" spans="1:25" s="5" customFormat="1" ht="25" x14ac:dyDescent="0.3">
      <c r="A35" s="14">
        <f t="shared" si="0"/>
        <v>30</v>
      </c>
      <c r="B35" s="15" t="s">
        <v>161</v>
      </c>
      <c r="C35" s="15" t="s">
        <v>116</v>
      </c>
      <c r="D35" s="15" t="s">
        <v>117</v>
      </c>
      <c r="E35" s="15" t="s">
        <v>118</v>
      </c>
      <c r="F35" s="19" t="s">
        <v>119</v>
      </c>
      <c r="G35" s="19" t="s">
        <v>63</v>
      </c>
      <c r="H35" s="14">
        <v>2</v>
      </c>
      <c r="I35" s="14" t="s">
        <v>29</v>
      </c>
      <c r="J35" s="14" t="s">
        <v>31</v>
      </c>
      <c r="K35" s="14"/>
      <c r="L35" s="14" t="s">
        <v>43</v>
      </c>
      <c r="M35" s="14"/>
      <c r="N35" s="14"/>
      <c r="O35" s="14"/>
      <c r="P35" s="14"/>
      <c r="Q35" s="14"/>
      <c r="R35" s="14"/>
      <c r="V35" s="14"/>
      <c r="X35" s="3"/>
      <c r="Y35" s="3"/>
    </row>
    <row r="36" spans="1:25" s="5" customFormat="1" ht="25" x14ac:dyDescent="0.3">
      <c r="A36" s="14">
        <f t="shared" si="0"/>
        <v>31</v>
      </c>
      <c r="B36" s="15" t="s">
        <v>161</v>
      </c>
      <c r="C36" s="15" t="s">
        <v>120</v>
      </c>
      <c r="D36" s="15" t="s">
        <v>121</v>
      </c>
      <c r="E36" s="15" t="s">
        <v>109</v>
      </c>
      <c r="F36" s="19" t="s">
        <v>119</v>
      </c>
      <c r="G36" s="19" t="s">
        <v>35</v>
      </c>
      <c r="H36" s="14">
        <v>2</v>
      </c>
      <c r="I36" s="14" t="s">
        <v>25</v>
      </c>
      <c r="J36" s="14" t="s">
        <v>30</v>
      </c>
      <c r="K36" s="14"/>
      <c r="L36" s="14"/>
      <c r="M36" s="14"/>
      <c r="N36" s="14"/>
      <c r="O36" s="14"/>
      <c r="P36" s="14"/>
      <c r="Q36" s="14">
        <v>0</v>
      </c>
      <c r="R36" s="14">
        <v>100</v>
      </c>
      <c r="S36" s="14" t="s">
        <v>55</v>
      </c>
      <c r="V36" s="14"/>
      <c r="X36" s="3"/>
      <c r="Y36" s="3"/>
    </row>
    <row r="37" spans="1:25" s="5" customFormat="1" ht="25" x14ac:dyDescent="0.3">
      <c r="A37" s="14">
        <f t="shared" si="0"/>
        <v>32</v>
      </c>
      <c r="B37" s="15" t="s">
        <v>161</v>
      </c>
      <c r="C37" s="15" t="s">
        <v>122</v>
      </c>
      <c r="D37" s="15" t="s">
        <v>121</v>
      </c>
      <c r="E37" s="15" t="s">
        <v>111</v>
      </c>
      <c r="F37" s="19" t="s">
        <v>119</v>
      </c>
      <c r="G37" s="19" t="s">
        <v>35</v>
      </c>
      <c r="H37" s="14">
        <v>2</v>
      </c>
      <c r="I37" s="14" t="s">
        <v>26</v>
      </c>
      <c r="J37" s="14" t="s">
        <v>30</v>
      </c>
      <c r="K37" s="14"/>
      <c r="L37" s="14"/>
      <c r="M37" s="14"/>
      <c r="N37" s="14"/>
      <c r="O37" s="14"/>
      <c r="P37" s="14"/>
      <c r="Q37" s="14">
        <v>0</v>
      </c>
      <c r="R37" s="14">
        <v>100</v>
      </c>
      <c r="S37" s="14" t="s">
        <v>55</v>
      </c>
      <c r="V37" s="14"/>
      <c r="X37" s="3"/>
      <c r="Y37" s="3"/>
    </row>
    <row r="38" spans="1:25" s="5" customFormat="1" ht="25" x14ac:dyDescent="0.3">
      <c r="A38" s="14">
        <f t="shared" si="0"/>
        <v>33</v>
      </c>
      <c r="B38" s="15" t="s">
        <v>161</v>
      </c>
      <c r="C38" s="15" t="s">
        <v>123</v>
      </c>
      <c r="D38" s="15" t="s">
        <v>119</v>
      </c>
      <c r="E38" s="15" t="s">
        <v>124</v>
      </c>
      <c r="F38" s="19" t="s">
        <v>119</v>
      </c>
      <c r="G38" s="19" t="s">
        <v>39</v>
      </c>
      <c r="H38" s="14">
        <v>2</v>
      </c>
      <c r="I38" s="14" t="s">
        <v>29</v>
      </c>
      <c r="J38" s="14" t="s">
        <v>31</v>
      </c>
      <c r="K38" s="14"/>
      <c r="L38" s="14" t="s">
        <v>66</v>
      </c>
      <c r="M38" s="14"/>
      <c r="N38" s="14"/>
      <c r="O38" s="14"/>
      <c r="P38" s="14"/>
      <c r="Q38" s="14"/>
      <c r="R38" s="14"/>
      <c r="S38" s="14"/>
      <c r="V38" s="14"/>
      <c r="X38" s="3"/>
      <c r="Y38" s="3"/>
    </row>
    <row r="39" spans="1:25" s="5" customFormat="1" ht="25" x14ac:dyDescent="0.3">
      <c r="A39" s="14">
        <f t="shared" si="0"/>
        <v>34</v>
      </c>
      <c r="B39" s="15" t="s">
        <v>161</v>
      </c>
      <c r="C39" s="15" t="s">
        <v>125</v>
      </c>
      <c r="D39" s="15" t="s">
        <v>119</v>
      </c>
      <c r="E39" s="15" t="s">
        <v>126</v>
      </c>
      <c r="F39" s="19" t="s">
        <v>119</v>
      </c>
      <c r="G39" s="19" t="s">
        <v>39</v>
      </c>
      <c r="H39" s="14">
        <v>2</v>
      </c>
      <c r="I39" s="14" t="s">
        <v>29</v>
      </c>
      <c r="J39" s="14" t="s">
        <v>31</v>
      </c>
      <c r="K39" s="14"/>
      <c r="L39" s="14" t="s">
        <v>67</v>
      </c>
      <c r="M39" s="14"/>
      <c r="N39" s="14"/>
      <c r="O39" s="14"/>
      <c r="P39" s="14"/>
      <c r="Q39" s="14"/>
      <c r="R39" s="14"/>
      <c r="S39" s="14"/>
      <c r="V39" s="14"/>
      <c r="X39" s="3"/>
      <c r="Y39" s="3"/>
    </row>
    <row r="40" spans="1:25" s="5" customFormat="1" ht="25" x14ac:dyDescent="0.3">
      <c r="A40" s="14">
        <f t="shared" si="0"/>
        <v>35</v>
      </c>
      <c r="B40" s="15" t="s">
        <v>161</v>
      </c>
      <c r="C40" s="15" t="s">
        <v>127</v>
      </c>
      <c r="D40" s="15" t="s">
        <v>127</v>
      </c>
      <c r="E40" s="15" t="s">
        <v>128</v>
      </c>
      <c r="F40" s="19" t="s">
        <v>129</v>
      </c>
      <c r="G40" s="19" t="s">
        <v>39</v>
      </c>
      <c r="H40" s="14">
        <v>2</v>
      </c>
      <c r="I40" s="14" t="s">
        <v>29</v>
      </c>
      <c r="J40" s="14" t="s">
        <v>31</v>
      </c>
      <c r="K40" s="14" t="s">
        <v>40</v>
      </c>
      <c r="L40" s="14" t="s">
        <v>41</v>
      </c>
      <c r="M40" s="14"/>
      <c r="N40" s="14"/>
      <c r="O40" s="14"/>
      <c r="P40" s="14"/>
      <c r="Q40" s="14"/>
      <c r="R40" s="14"/>
      <c r="V40" s="14"/>
      <c r="X40" s="3"/>
      <c r="Y40" s="3"/>
    </row>
    <row r="41" spans="1:25" s="5" customFormat="1" ht="25" x14ac:dyDescent="0.3">
      <c r="A41" s="14">
        <f t="shared" si="0"/>
        <v>36</v>
      </c>
      <c r="B41" s="15" t="s">
        <v>161</v>
      </c>
      <c r="C41" s="15" t="s">
        <v>130</v>
      </c>
      <c r="D41" s="15" t="s">
        <v>130</v>
      </c>
      <c r="E41" s="15" t="s">
        <v>131</v>
      </c>
      <c r="F41" s="19" t="s">
        <v>129</v>
      </c>
      <c r="G41" s="19" t="s">
        <v>39</v>
      </c>
      <c r="H41" s="14">
        <v>2</v>
      </c>
      <c r="I41" s="14" t="s">
        <v>24</v>
      </c>
      <c r="J41" s="14" t="s">
        <v>31</v>
      </c>
      <c r="K41" s="14"/>
      <c r="L41" s="14" t="s">
        <v>49</v>
      </c>
      <c r="M41" s="14"/>
      <c r="N41" s="14"/>
      <c r="O41" s="14"/>
      <c r="P41" s="14"/>
      <c r="Q41" s="14"/>
      <c r="R41" s="14"/>
      <c r="V41" s="14"/>
      <c r="X41" s="3"/>
      <c r="Y41" s="3"/>
    </row>
    <row r="42" spans="1:25" ht="25" customHeight="1" x14ac:dyDescent="0.3">
      <c r="A42" s="14"/>
      <c r="B42" s="15"/>
      <c r="C42" s="15"/>
      <c r="D42" s="15"/>
      <c r="E42" s="15"/>
      <c r="F42" s="19"/>
      <c r="G42" s="19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5"/>
      <c r="T42" s="5"/>
      <c r="U42" s="5"/>
      <c r="V42" s="14"/>
    </row>
    <row r="43" spans="1:25" s="5" customFormat="1" ht="25" x14ac:dyDescent="0.3">
      <c r="A43" s="14">
        <f>A41+1</f>
        <v>37</v>
      </c>
      <c r="B43" s="15" t="s">
        <v>161</v>
      </c>
      <c r="C43" s="15" t="s">
        <v>132</v>
      </c>
      <c r="D43" s="15" t="s">
        <v>133</v>
      </c>
      <c r="E43" s="15" t="s">
        <v>134</v>
      </c>
      <c r="F43" s="19" t="s">
        <v>135</v>
      </c>
      <c r="G43" s="19" t="s">
        <v>39</v>
      </c>
      <c r="H43" s="14">
        <v>2</v>
      </c>
      <c r="I43" s="14" t="s">
        <v>29</v>
      </c>
      <c r="J43" s="14" t="s">
        <v>31</v>
      </c>
      <c r="K43" s="14"/>
      <c r="L43" s="14" t="s">
        <v>43</v>
      </c>
      <c r="M43" s="14"/>
      <c r="N43" s="14"/>
      <c r="O43" s="14"/>
      <c r="P43" s="14"/>
      <c r="Q43" s="14"/>
      <c r="R43" s="14"/>
      <c r="V43" s="14"/>
      <c r="X43" s="3"/>
      <c r="Y43" s="3"/>
    </row>
    <row r="44" spans="1:25" s="5" customFormat="1" ht="25" x14ac:dyDescent="0.3">
      <c r="A44" s="14">
        <f t="shared" si="0"/>
        <v>38</v>
      </c>
      <c r="B44" s="15" t="s">
        <v>161</v>
      </c>
      <c r="C44" s="15" t="s">
        <v>136</v>
      </c>
      <c r="D44" s="15" t="s">
        <v>137</v>
      </c>
      <c r="E44" s="15" t="s">
        <v>138</v>
      </c>
      <c r="F44" s="19" t="s">
        <v>135</v>
      </c>
      <c r="G44" s="19" t="s">
        <v>34</v>
      </c>
      <c r="H44" s="14">
        <v>2</v>
      </c>
      <c r="I44" s="14" t="s">
        <v>25</v>
      </c>
      <c r="J44" s="14" t="s">
        <v>30</v>
      </c>
      <c r="K44" s="14"/>
      <c r="L44" s="14"/>
      <c r="M44" s="14"/>
      <c r="N44" s="14"/>
      <c r="O44" s="14"/>
      <c r="P44" s="14"/>
      <c r="Q44" s="14">
        <v>0</v>
      </c>
      <c r="R44" s="14">
        <v>100</v>
      </c>
      <c r="S44" s="14" t="s">
        <v>55</v>
      </c>
      <c r="V44" s="14"/>
      <c r="X44" s="3"/>
      <c r="Y44" s="3"/>
    </row>
    <row r="45" spans="1:25" s="5" customFormat="1" ht="25" x14ac:dyDescent="0.3">
      <c r="A45" s="14">
        <f t="shared" si="0"/>
        <v>39</v>
      </c>
      <c r="B45" s="15" t="s">
        <v>161</v>
      </c>
      <c r="C45" s="15" t="s">
        <v>139</v>
      </c>
      <c r="D45" s="15" t="s">
        <v>137</v>
      </c>
      <c r="E45" s="15" t="s">
        <v>140</v>
      </c>
      <c r="F45" s="19" t="s">
        <v>135</v>
      </c>
      <c r="G45" s="19" t="s">
        <v>34</v>
      </c>
      <c r="H45" s="14">
        <v>2</v>
      </c>
      <c r="I45" s="14" t="s">
        <v>26</v>
      </c>
      <c r="J45" s="14" t="s">
        <v>30</v>
      </c>
      <c r="K45" s="14"/>
      <c r="L45" s="14"/>
      <c r="M45" s="14"/>
      <c r="N45" s="14"/>
      <c r="O45" s="14"/>
      <c r="P45" s="14"/>
      <c r="Q45" s="14">
        <v>0</v>
      </c>
      <c r="R45" s="14">
        <v>100</v>
      </c>
      <c r="S45" s="14" t="s">
        <v>55</v>
      </c>
      <c r="V45" s="14"/>
      <c r="X45" s="3"/>
      <c r="Y45" s="3"/>
    </row>
    <row r="46" spans="1:25" s="5" customFormat="1" ht="25" x14ac:dyDescent="0.3">
      <c r="A46" s="14">
        <f t="shared" si="0"/>
        <v>40</v>
      </c>
      <c r="B46" s="15" t="s">
        <v>161</v>
      </c>
      <c r="C46" s="15" t="s">
        <v>141</v>
      </c>
      <c r="D46" s="15" t="s">
        <v>135</v>
      </c>
      <c r="E46" s="15" t="s">
        <v>142</v>
      </c>
      <c r="F46" s="19" t="s">
        <v>135</v>
      </c>
      <c r="G46" s="19" t="s">
        <v>39</v>
      </c>
      <c r="H46" s="14">
        <v>2</v>
      </c>
      <c r="I46" s="14" t="s">
        <v>29</v>
      </c>
      <c r="J46" s="14" t="s">
        <v>31</v>
      </c>
      <c r="K46" s="14"/>
      <c r="L46" s="14" t="s">
        <v>66</v>
      </c>
      <c r="M46" s="14"/>
      <c r="N46" s="14"/>
      <c r="O46" s="14"/>
      <c r="P46" s="14"/>
      <c r="Q46" s="14"/>
      <c r="R46" s="14"/>
      <c r="S46" s="14"/>
      <c r="V46" s="14"/>
      <c r="X46" s="3"/>
      <c r="Y46" s="3"/>
    </row>
    <row r="47" spans="1:25" s="5" customFormat="1" ht="25" x14ac:dyDescent="0.3">
      <c r="A47" s="14">
        <f t="shared" si="0"/>
        <v>41</v>
      </c>
      <c r="B47" s="15" t="s">
        <v>161</v>
      </c>
      <c r="C47" s="15" t="s">
        <v>143</v>
      </c>
      <c r="D47" s="15" t="s">
        <v>135</v>
      </c>
      <c r="E47" s="15" t="s">
        <v>144</v>
      </c>
      <c r="F47" s="19" t="s">
        <v>135</v>
      </c>
      <c r="G47" s="19" t="s">
        <v>39</v>
      </c>
      <c r="H47" s="14">
        <v>2</v>
      </c>
      <c r="I47" s="14" t="s">
        <v>29</v>
      </c>
      <c r="J47" s="14" t="s">
        <v>31</v>
      </c>
      <c r="K47" s="14"/>
      <c r="L47" s="14" t="s">
        <v>67</v>
      </c>
      <c r="M47" s="14"/>
      <c r="N47" s="14"/>
      <c r="O47" s="14"/>
      <c r="P47" s="14"/>
      <c r="Q47" s="14"/>
      <c r="R47" s="14"/>
      <c r="S47" s="14"/>
      <c r="V47" s="14"/>
      <c r="X47" s="3"/>
      <c r="Y47" s="3"/>
    </row>
    <row r="48" spans="1:25" s="5" customFormat="1" ht="25" x14ac:dyDescent="0.3">
      <c r="A48" s="14">
        <f t="shared" si="0"/>
        <v>42</v>
      </c>
      <c r="B48" s="15" t="s">
        <v>161</v>
      </c>
      <c r="C48" s="15" t="s">
        <v>145</v>
      </c>
      <c r="D48" s="15" t="s">
        <v>146</v>
      </c>
      <c r="E48" s="15" t="s">
        <v>744</v>
      </c>
      <c r="F48" s="19" t="s">
        <v>147</v>
      </c>
      <c r="G48" s="19" t="s">
        <v>63</v>
      </c>
      <c r="H48" s="14">
        <v>2</v>
      </c>
      <c r="I48" s="14" t="s">
        <v>29</v>
      </c>
      <c r="J48" s="14" t="s">
        <v>31</v>
      </c>
      <c r="K48" s="14"/>
      <c r="L48" s="14" t="s">
        <v>43</v>
      </c>
      <c r="M48" s="14"/>
      <c r="N48" s="14"/>
      <c r="O48" s="14"/>
      <c r="P48" s="14"/>
      <c r="Q48" s="14"/>
      <c r="R48" s="14"/>
      <c r="V48" s="14"/>
      <c r="X48" s="3"/>
      <c r="Y48" s="3"/>
    </row>
    <row r="49" spans="1:26" s="5" customFormat="1" ht="25" x14ac:dyDescent="0.3">
      <c r="A49" s="14">
        <f t="shared" si="0"/>
        <v>43</v>
      </c>
      <c r="B49" s="15" t="s">
        <v>161</v>
      </c>
      <c r="C49" s="15" t="s">
        <v>148</v>
      </c>
      <c r="D49" s="15" t="s">
        <v>149</v>
      </c>
      <c r="E49" s="15" t="s">
        <v>138</v>
      </c>
      <c r="F49" s="19" t="s">
        <v>147</v>
      </c>
      <c r="G49" s="19" t="s">
        <v>35</v>
      </c>
      <c r="H49" s="14">
        <v>2</v>
      </c>
      <c r="I49" s="14" t="s">
        <v>25</v>
      </c>
      <c r="J49" s="14" t="s">
        <v>30</v>
      </c>
      <c r="K49" s="14"/>
      <c r="L49" s="14"/>
      <c r="M49" s="14"/>
      <c r="N49" s="14"/>
      <c r="O49" s="14"/>
      <c r="P49" s="14"/>
      <c r="Q49" s="14">
        <v>0</v>
      </c>
      <c r="R49" s="14">
        <v>100</v>
      </c>
      <c r="S49" s="14" t="s">
        <v>55</v>
      </c>
      <c r="V49" s="14"/>
      <c r="X49" s="3"/>
      <c r="Y49" s="3"/>
    </row>
    <row r="50" spans="1:26" s="5" customFormat="1" ht="25" x14ac:dyDescent="0.3">
      <c r="A50" s="14">
        <f t="shared" si="0"/>
        <v>44</v>
      </c>
      <c r="B50" s="15" t="s">
        <v>161</v>
      </c>
      <c r="C50" s="15" t="s">
        <v>150</v>
      </c>
      <c r="D50" s="15" t="s">
        <v>149</v>
      </c>
      <c r="E50" s="15" t="s">
        <v>140</v>
      </c>
      <c r="F50" s="19" t="s">
        <v>147</v>
      </c>
      <c r="G50" s="19" t="s">
        <v>35</v>
      </c>
      <c r="H50" s="14">
        <v>2</v>
      </c>
      <c r="I50" s="14" t="s">
        <v>26</v>
      </c>
      <c r="J50" s="14" t="s">
        <v>30</v>
      </c>
      <c r="K50" s="14"/>
      <c r="L50" s="14"/>
      <c r="M50" s="14"/>
      <c r="N50" s="14"/>
      <c r="O50" s="14"/>
      <c r="P50" s="14"/>
      <c r="Q50" s="14">
        <v>0</v>
      </c>
      <c r="R50" s="14">
        <v>100</v>
      </c>
      <c r="S50" s="14" t="s">
        <v>55</v>
      </c>
      <c r="V50" s="14"/>
      <c r="X50" s="3"/>
      <c r="Y50" s="3"/>
    </row>
    <row r="51" spans="1:26" s="5" customFormat="1" ht="25" x14ac:dyDescent="0.3">
      <c r="A51" s="14">
        <f t="shared" si="0"/>
        <v>45</v>
      </c>
      <c r="B51" s="15" t="s">
        <v>161</v>
      </c>
      <c r="C51" s="15" t="s">
        <v>151</v>
      </c>
      <c r="D51" s="15" t="s">
        <v>147</v>
      </c>
      <c r="E51" s="15" t="s">
        <v>152</v>
      </c>
      <c r="F51" s="19" t="s">
        <v>147</v>
      </c>
      <c r="G51" s="19" t="s">
        <v>39</v>
      </c>
      <c r="H51" s="14">
        <v>2</v>
      </c>
      <c r="I51" s="14" t="s">
        <v>29</v>
      </c>
      <c r="J51" s="14" t="s">
        <v>31</v>
      </c>
      <c r="K51" s="14"/>
      <c r="L51" s="14" t="s">
        <v>66</v>
      </c>
      <c r="M51" s="14"/>
      <c r="N51" s="14"/>
      <c r="O51" s="14"/>
      <c r="P51" s="14"/>
      <c r="Q51" s="14"/>
      <c r="R51" s="14"/>
      <c r="S51" s="14"/>
      <c r="V51" s="14"/>
      <c r="X51" s="3"/>
      <c r="Y51" s="3"/>
    </row>
    <row r="52" spans="1:26" s="5" customFormat="1" ht="25" x14ac:dyDescent="0.3">
      <c r="A52" s="14">
        <f t="shared" si="0"/>
        <v>46</v>
      </c>
      <c r="B52" s="15" t="s">
        <v>161</v>
      </c>
      <c r="C52" s="15" t="s">
        <v>153</v>
      </c>
      <c r="D52" s="15" t="s">
        <v>147</v>
      </c>
      <c r="E52" s="15" t="s">
        <v>154</v>
      </c>
      <c r="F52" s="19" t="s">
        <v>147</v>
      </c>
      <c r="G52" s="19" t="s">
        <v>39</v>
      </c>
      <c r="H52" s="14">
        <v>2</v>
      </c>
      <c r="I52" s="14" t="s">
        <v>29</v>
      </c>
      <c r="J52" s="14" t="s">
        <v>31</v>
      </c>
      <c r="K52" s="14"/>
      <c r="L52" s="14" t="s">
        <v>67</v>
      </c>
      <c r="M52" s="14"/>
      <c r="N52" s="14"/>
      <c r="O52" s="14"/>
      <c r="P52" s="14"/>
      <c r="Q52" s="14"/>
      <c r="R52" s="14"/>
      <c r="S52" s="14"/>
      <c r="V52" s="14"/>
      <c r="X52" s="3"/>
      <c r="Y52" s="3"/>
    </row>
    <row r="53" spans="1:26" s="3" customFormat="1" ht="25" x14ac:dyDescent="0.3">
      <c r="A53" s="14">
        <f t="shared" si="0"/>
        <v>47</v>
      </c>
      <c r="B53" s="15" t="s">
        <v>161</v>
      </c>
      <c r="C53" s="15" t="s">
        <v>155</v>
      </c>
      <c r="D53" s="15" t="s">
        <v>155</v>
      </c>
      <c r="E53" s="15" t="s">
        <v>156</v>
      </c>
      <c r="F53" s="19" t="s">
        <v>157</v>
      </c>
      <c r="G53" s="19" t="s">
        <v>39</v>
      </c>
      <c r="H53" s="14">
        <v>2</v>
      </c>
      <c r="I53" s="14" t="s">
        <v>29</v>
      </c>
      <c r="J53" s="14" t="s">
        <v>31</v>
      </c>
      <c r="K53" s="14" t="s">
        <v>40</v>
      </c>
      <c r="L53" s="14" t="s">
        <v>41</v>
      </c>
      <c r="M53" s="14"/>
      <c r="N53" s="14"/>
      <c r="O53" s="14"/>
      <c r="P53" s="14"/>
      <c r="Q53" s="14"/>
      <c r="R53" s="14"/>
      <c r="S53" s="5"/>
      <c r="T53" s="5"/>
      <c r="U53" s="5"/>
      <c r="V53" s="14"/>
      <c r="W53" s="5"/>
    </row>
    <row r="54" spans="1:26" s="3" customFormat="1" ht="25" x14ac:dyDescent="0.3">
      <c r="A54" s="14">
        <f t="shared" si="0"/>
        <v>48</v>
      </c>
      <c r="B54" s="15" t="s">
        <v>161</v>
      </c>
      <c r="C54" s="15" t="s">
        <v>158</v>
      </c>
      <c r="D54" s="15" t="s">
        <v>158</v>
      </c>
      <c r="E54" s="15" t="s">
        <v>159</v>
      </c>
      <c r="F54" s="19" t="s">
        <v>157</v>
      </c>
      <c r="G54" s="19" t="s">
        <v>39</v>
      </c>
      <c r="H54" s="14">
        <v>2</v>
      </c>
      <c r="I54" s="14" t="s">
        <v>24</v>
      </c>
      <c r="J54" s="14" t="s">
        <v>31</v>
      </c>
      <c r="K54" s="14"/>
      <c r="L54" s="14" t="s">
        <v>49</v>
      </c>
      <c r="M54" s="14"/>
      <c r="N54" s="14"/>
      <c r="O54" s="14"/>
      <c r="P54" s="14"/>
      <c r="Q54" s="14"/>
      <c r="R54" s="14"/>
      <c r="S54" s="5"/>
      <c r="T54" s="5"/>
      <c r="U54" s="5"/>
      <c r="V54" s="14"/>
      <c r="W54" s="5"/>
    </row>
    <row r="55" spans="1:26" s="30" customFormat="1" ht="25" x14ac:dyDescent="0.3">
      <c r="A55" s="25">
        <f t="shared" ref="A55:A75" si="1">ROW()-3</f>
        <v>52</v>
      </c>
      <c r="B55" s="26" t="s">
        <v>172</v>
      </c>
      <c r="C55" s="26" t="s">
        <v>592</v>
      </c>
      <c r="D55" s="26" t="s">
        <v>592</v>
      </c>
      <c r="E55" s="27" t="s">
        <v>646</v>
      </c>
      <c r="F55" s="26" t="s">
        <v>646</v>
      </c>
      <c r="G55" s="26" t="s">
        <v>645</v>
      </c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8"/>
      <c r="S55" s="25"/>
      <c r="T55" s="25"/>
      <c r="U55" s="29"/>
      <c r="V55" s="29"/>
      <c r="W55" s="25"/>
      <c r="X55" s="29"/>
    </row>
    <row r="56" spans="1:26" s="36" customFormat="1" ht="25" x14ac:dyDescent="0.3">
      <c r="A56" s="31">
        <f t="shared" si="1"/>
        <v>53</v>
      </c>
      <c r="B56" s="32" t="s">
        <v>172</v>
      </c>
      <c r="C56" s="32" t="str">
        <f>_xlfn.CONCAT("04ZC",RIGHT(C55,4))</f>
        <v>04ZC0601</v>
      </c>
      <c r="D56" s="32" t="str">
        <f>_xlfn.CONCAT("04-ZC-",RIGHT(D55,4))</f>
        <v>04-ZC-0601</v>
      </c>
      <c r="E56" s="33" t="str">
        <f>_xlfn.CONCAT(D55," Opening Control")</f>
        <v>04-FCV-0601 Opening Control</v>
      </c>
      <c r="F56" s="32" t="str">
        <f>F55</f>
        <v>PL-0417-4"-150A1</v>
      </c>
      <c r="G56" s="32" t="str">
        <f>G55</f>
        <v>24E11-P1-PI-1006</v>
      </c>
      <c r="H56" s="31"/>
      <c r="I56" s="31" t="s">
        <v>711</v>
      </c>
      <c r="J56" s="31" t="s">
        <v>30</v>
      </c>
      <c r="K56" s="31" t="s">
        <v>713</v>
      </c>
      <c r="L56" s="31" t="s">
        <v>163</v>
      </c>
      <c r="M56" s="31" t="s">
        <v>163</v>
      </c>
      <c r="N56" s="31"/>
      <c r="O56" s="31"/>
      <c r="P56" s="31"/>
      <c r="Q56" s="31"/>
      <c r="R56" s="31">
        <v>0</v>
      </c>
      <c r="S56" s="31">
        <v>100</v>
      </c>
      <c r="T56" s="31" t="s">
        <v>252</v>
      </c>
      <c r="U56" s="34"/>
      <c r="V56" s="34"/>
      <c r="W56" s="31"/>
      <c r="X56" s="34"/>
      <c r="Y56" s="35"/>
      <c r="Z56" s="35"/>
    </row>
    <row r="57" spans="1:26" s="36" customFormat="1" ht="25" x14ac:dyDescent="0.3">
      <c r="A57" s="31">
        <f t="shared" si="1"/>
        <v>54</v>
      </c>
      <c r="B57" s="32" t="s">
        <v>172</v>
      </c>
      <c r="C57" s="32" t="str">
        <f>_xlfn.CONCAT("04ZI",RIGHT(C56,4))</f>
        <v>04ZI0601</v>
      </c>
      <c r="D57" s="32" t="str">
        <f>_xlfn.CONCAT("04-ZT-",RIGHT(D56,4))</f>
        <v>04-ZT-0601</v>
      </c>
      <c r="E57" s="33" t="str">
        <f>_xlfn.CONCAT(D55," Opening Position Feedback")</f>
        <v>04-FCV-0601 Opening Position Feedback</v>
      </c>
      <c r="F57" s="32" t="str">
        <f>F56</f>
        <v>PL-0417-4"-150A1</v>
      </c>
      <c r="G57" s="32" t="str">
        <f>G56</f>
        <v>24E11-P1-PI-1006</v>
      </c>
      <c r="H57" s="31"/>
      <c r="I57" s="31" t="s">
        <v>712</v>
      </c>
      <c r="J57" s="31" t="s">
        <v>30</v>
      </c>
      <c r="K57" s="31" t="s">
        <v>713</v>
      </c>
      <c r="L57" s="31" t="s">
        <v>163</v>
      </c>
      <c r="M57" s="31" t="s">
        <v>163</v>
      </c>
      <c r="N57" s="31"/>
      <c r="O57" s="31"/>
      <c r="P57" s="31"/>
      <c r="Q57" s="31"/>
      <c r="R57" s="31">
        <v>0</v>
      </c>
      <c r="S57" s="31">
        <v>100</v>
      </c>
      <c r="T57" s="31" t="s">
        <v>252</v>
      </c>
      <c r="U57" s="34"/>
      <c r="V57" s="34"/>
      <c r="W57" s="31"/>
      <c r="X57" s="34"/>
      <c r="Y57" s="35"/>
      <c r="Z57" s="35"/>
    </row>
    <row r="58" spans="1:26" s="30" customFormat="1" ht="25" x14ac:dyDescent="0.3">
      <c r="A58" s="25">
        <f t="shared" si="1"/>
        <v>55</v>
      </c>
      <c r="B58" s="26" t="s">
        <v>172</v>
      </c>
      <c r="C58" s="26" t="s">
        <v>610</v>
      </c>
      <c r="D58" s="26" t="s">
        <v>610</v>
      </c>
      <c r="E58" s="27" t="s">
        <v>650</v>
      </c>
      <c r="F58" s="26" t="s">
        <v>610</v>
      </c>
      <c r="G58" s="26" t="s">
        <v>640</v>
      </c>
      <c r="H58" s="25"/>
      <c r="I58" s="25"/>
      <c r="J58" s="25"/>
      <c r="K58" s="28"/>
      <c r="L58" s="25"/>
      <c r="M58" s="25"/>
      <c r="N58" s="25"/>
      <c r="O58" s="25"/>
      <c r="P58" s="25"/>
      <c r="Q58" s="25"/>
      <c r="R58" s="25"/>
      <c r="S58" s="25"/>
      <c r="T58" s="25"/>
      <c r="U58" s="29"/>
      <c r="V58" s="29"/>
      <c r="W58" s="25"/>
      <c r="X58" s="29"/>
    </row>
    <row r="59" spans="1:26" s="36" customFormat="1" ht="25" x14ac:dyDescent="0.3">
      <c r="A59" s="31">
        <f t="shared" si="1"/>
        <v>56</v>
      </c>
      <c r="B59" s="32" t="s">
        <v>172</v>
      </c>
      <c r="C59" s="32" t="str">
        <f>_xlfn.CONCAT("04ZLL",RIGHT(C58,4))</f>
        <v>04ZLL0201</v>
      </c>
      <c r="D59" s="32" t="str">
        <f>_xlfn.CONCAT("04-ZSL-",RIGHT(D58,4))</f>
        <v>04-ZSL-0201</v>
      </c>
      <c r="E59" s="33" t="str">
        <f>_xlfn.CONCAT(D58," Fully Closed")</f>
        <v>04-MOV-0201 Fully Closed</v>
      </c>
      <c r="F59" s="32" t="str">
        <f t="shared" ref="F59:G64" si="2">F58</f>
        <v>04-MOV-0201</v>
      </c>
      <c r="G59" s="32" t="str">
        <f t="shared" si="2"/>
        <v>24E11-P1-PI-1005</v>
      </c>
      <c r="H59" s="31"/>
      <c r="I59" s="31" t="s">
        <v>29</v>
      </c>
      <c r="J59" s="31" t="s">
        <v>31</v>
      </c>
      <c r="K59" s="31" t="s">
        <v>163</v>
      </c>
      <c r="L59" s="31" t="s">
        <v>163</v>
      </c>
      <c r="M59" s="31" t="s">
        <v>742</v>
      </c>
      <c r="N59" s="31"/>
      <c r="O59" s="31"/>
      <c r="P59" s="31"/>
      <c r="Q59" s="31"/>
      <c r="R59" s="31">
        <v>0</v>
      </c>
      <c r="S59" s="31">
        <v>100</v>
      </c>
      <c r="T59" s="31" t="s">
        <v>252</v>
      </c>
      <c r="U59" s="34"/>
      <c r="V59" s="34"/>
      <c r="W59" s="31"/>
      <c r="X59" s="34"/>
      <c r="Y59" s="35"/>
      <c r="Z59" s="35"/>
    </row>
    <row r="60" spans="1:26" s="36" customFormat="1" ht="25" x14ac:dyDescent="0.3">
      <c r="A60" s="31">
        <f t="shared" si="1"/>
        <v>57</v>
      </c>
      <c r="B60" s="32" t="s">
        <v>172</v>
      </c>
      <c r="C60" s="32" t="str">
        <f>_xlfn.CONCAT("04ZLH",RIGHT(C59,4))</f>
        <v>04ZLH0201</v>
      </c>
      <c r="D60" s="32" t="str">
        <f>_xlfn.CONCAT("04-ZSH-",RIGHT(D59,4))</f>
        <v>04-ZSH-0201</v>
      </c>
      <c r="E60" s="33" t="str">
        <f>_xlfn.CONCAT(D58," Fully Open")</f>
        <v>04-MOV-0201 Fully Open</v>
      </c>
      <c r="F60" s="32" t="str">
        <f t="shared" si="2"/>
        <v>04-MOV-0201</v>
      </c>
      <c r="G60" s="32" t="str">
        <f t="shared" si="2"/>
        <v>24E11-P1-PI-1005</v>
      </c>
      <c r="H60" s="31"/>
      <c r="I60" s="31" t="s">
        <v>29</v>
      </c>
      <c r="J60" s="31" t="s">
        <v>31</v>
      </c>
      <c r="K60" s="31" t="s">
        <v>163</v>
      </c>
      <c r="L60" s="31" t="s">
        <v>163</v>
      </c>
      <c r="M60" s="31" t="s">
        <v>32</v>
      </c>
      <c r="N60" s="31"/>
      <c r="O60" s="31"/>
      <c r="P60" s="31"/>
      <c r="Q60" s="31"/>
      <c r="R60" s="31">
        <v>0</v>
      </c>
      <c r="S60" s="31">
        <v>100</v>
      </c>
      <c r="T60" s="31" t="s">
        <v>252</v>
      </c>
      <c r="U60" s="34"/>
      <c r="V60" s="34"/>
      <c r="W60" s="31"/>
      <c r="X60" s="34"/>
      <c r="Y60" s="35"/>
      <c r="Z60" s="35"/>
    </row>
    <row r="61" spans="1:26" s="36" customFormat="1" ht="25" x14ac:dyDescent="0.3">
      <c r="A61" s="31">
        <f t="shared" si="1"/>
        <v>58</v>
      </c>
      <c r="B61" s="32" t="s">
        <v>172</v>
      </c>
      <c r="C61" s="32" t="str">
        <f>_xlfn.CONCAT("04XS",RIGHT(C60,4))</f>
        <v>04XS0201</v>
      </c>
      <c r="D61" s="32" t="str">
        <f>_xlfn.CONCAT("04-HS-",RIGHT(D60,4))</f>
        <v>04-HS-0201</v>
      </c>
      <c r="E61" s="33" t="s">
        <v>739</v>
      </c>
      <c r="F61" s="32" t="str">
        <f t="shared" si="2"/>
        <v>04-MOV-0201</v>
      </c>
      <c r="G61" s="32" t="str">
        <f t="shared" si="2"/>
        <v>24E11-P1-PI-1005</v>
      </c>
      <c r="H61" s="31"/>
      <c r="I61" s="31" t="s">
        <v>29</v>
      </c>
      <c r="J61" s="31" t="s">
        <v>31</v>
      </c>
      <c r="K61" s="31" t="s">
        <v>163</v>
      </c>
      <c r="L61" s="31" t="s">
        <v>166</v>
      </c>
      <c r="M61" s="31" t="s">
        <v>743</v>
      </c>
      <c r="N61" s="31"/>
      <c r="O61" s="31"/>
      <c r="P61" s="31"/>
      <c r="Q61" s="31"/>
      <c r="R61" s="31">
        <v>0</v>
      </c>
      <c r="S61" s="31">
        <v>100</v>
      </c>
      <c r="T61" s="31" t="s">
        <v>252</v>
      </c>
      <c r="U61" s="34"/>
      <c r="V61" s="34"/>
      <c r="W61" s="31"/>
      <c r="X61" s="34"/>
      <c r="Y61" s="35"/>
      <c r="Z61" s="35"/>
    </row>
    <row r="62" spans="1:26" s="36" customFormat="1" ht="25" x14ac:dyDescent="0.3">
      <c r="A62" s="31">
        <f t="shared" si="1"/>
        <v>59</v>
      </c>
      <c r="B62" s="32" t="s">
        <v>172</v>
      </c>
      <c r="C62" s="32" t="str">
        <f>_xlfn.CONCAT("04HSC",RIGHT(C61,4))</f>
        <v>04HSC0201</v>
      </c>
      <c r="D62" s="32" t="str">
        <f>D58</f>
        <v>04-MOV-0201</v>
      </c>
      <c r="E62" s="33" t="str">
        <f>_xlfn.CONCAT(D58," Close Command")</f>
        <v>04-MOV-0201 Close Command</v>
      </c>
      <c r="F62" s="32" t="str">
        <f t="shared" si="2"/>
        <v>04-MOV-0201</v>
      </c>
      <c r="G62" s="32" t="str">
        <f t="shared" si="2"/>
        <v>24E11-P1-PI-1005</v>
      </c>
      <c r="H62" s="31"/>
      <c r="I62" s="31" t="s">
        <v>24</v>
      </c>
      <c r="J62" s="31" t="s">
        <v>31</v>
      </c>
      <c r="K62" s="31" t="s">
        <v>163</v>
      </c>
      <c r="L62" s="31" t="s">
        <v>163</v>
      </c>
      <c r="M62" s="31" t="s">
        <v>32</v>
      </c>
      <c r="N62" s="31"/>
      <c r="O62" s="31"/>
      <c r="P62" s="31"/>
      <c r="Q62" s="31"/>
      <c r="R62" s="31">
        <v>0</v>
      </c>
      <c r="S62" s="31">
        <v>100</v>
      </c>
      <c r="T62" s="31" t="s">
        <v>252</v>
      </c>
      <c r="U62" s="34"/>
      <c r="V62" s="34"/>
      <c r="W62" s="31"/>
      <c r="X62" s="34"/>
      <c r="Y62" s="35"/>
      <c r="Z62" s="35"/>
    </row>
    <row r="63" spans="1:26" s="36" customFormat="1" ht="25" x14ac:dyDescent="0.3">
      <c r="A63" s="31">
        <f t="shared" si="1"/>
        <v>60</v>
      </c>
      <c r="B63" s="32" t="s">
        <v>172</v>
      </c>
      <c r="C63" s="32" t="str">
        <f>_xlfn.CONCAT("04HSO",RIGHT(C62,4))</f>
        <v>04HSO0201</v>
      </c>
      <c r="D63" s="32" t="str">
        <f>D62</f>
        <v>04-MOV-0201</v>
      </c>
      <c r="E63" s="33" t="str">
        <f>_xlfn.CONCAT(D58," Open Command")</f>
        <v>04-MOV-0201 Open Command</v>
      </c>
      <c r="F63" s="32" t="str">
        <f t="shared" si="2"/>
        <v>04-MOV-0201</v>
      </c>
      <c r="G63" s="32" t="str">
        <f t="shared" si="2"/>
        <v>24E11-P1-PI-1005</v>
      </c>
      <c r="H63" s="31"/>
      <c r="I63" s="31" t="s">
        <v>24</v>
      </c>
      <c r="J63" s="31" t="s">
        <v>31</v>
      </c>
      <c r="K63" s="31" t="s">
        <v>163</v>
      </c>
      <c r="L63" s="31" t="s">
        <v>163</v>
      </c>
      <c r="M63" s="31" t="s">
        <v>33</v>
      </c>
      <c r="N63" s="31"/>
      <c r="O63" s="31"/>
      <c r="P63" s="31"/>
      <c r="Q63" s="31"/>
      <c r="R63" s="31">
        <v>0</v>
      </c>
      <c r="S63" s="31">
        <v>100</v>
      </c>
      <c r="T63" s="31" t="s">
        <v>252</v>
      </c>
      <c r="U63" s="34"/>
      <c r="V63" s="34"/>
      <c r="W63" s="31"/>
      <c r="X63" s="34"/>
      <c r="Y63" s="35"/>
      <c r="Z63" s="35"/>
    </row>
    <row r="64" spans="1:26" s="36" customFormat="1" ht="25" x14ac:dyDescent="0.3">
      <c r="A64" s="31">
        <f t="shared" si="1"/>
        <v>61</v>
      </c>
      <c r="B64" s="32" t="s">
        <v>172</v>
      </c>
      <c r="C64" s="32" t="str">
        <f>_xlfn.CONCAT("04ZI",RIGHT(C63,4))</f>
        <v>04ZI0201</v>
      </c>
      <c r="D64" s="32" t="str">
        <f>_xlfn.CONCAT("04-ZT-",RIGHT(D63,4))</f>
        <v>04-ZT-0201</v>
      </c>
      <c r="E64" s="33" t="str">
        <f>_xlfn.CONCAT(D58," Opening Position Feedback")</f>
        <v>04-MOV-0201 Opening Position Feedback</v>
      </c>
      <c r="F64" s="32" t="str">
        <f t="shared" si="2"/>
        <v>04-MOV-0201</v>
      </c>
      <c r="G64" s="32" t="str">
        <f t="shared" si="2"/>
        <v>24E11-P1-PI-1005</v>
      </c>
      <c r="H64" s="31"/>
      <c r="I64" s="31" t="s">
        <v>25</v>
      </c>
      <c r="J64" s="31" t="s">
        <v>30</v>
      </c>
      <c r="K64" s="31" t="s">
        <v>163</v>
      </c>
      <c r="L64" s="31" t="s">
        <v>163</v>
      </c>
      <c r="M64" s="31" t="s">
        <v>163</v>
      </c>
      <c r="N64" s="31"/>
      <c r="O64" s="31"/>
      <c r="P64" s="31"/>
      <c r="Q64" s="31"/>
      <c r="R64" s="31">
        <v>0</v>
      </c>
      <c r="S64" s="31">
        <v>100</v>
      </c>
      <c r="T64" s="31" t="s">
        <v>252</v>
      </c>
      <c r="U64" s="34"/>
      <c r="V64" s="34"/>
      <c r="W64" s="31"/>
      <c r="X64" s="34"/>
      <c r="Y64" s="35"/>
      <c r="Z64" s="35"/>
    </row>
    <row r="65" spans="1:24" s="30" customFormat="1" ht="25" x14ac:dyDescent="0.3">
      <c r="A65" s="25">
        <f t="shared" si="1"/>
        <v>62</v>
      </c>
      <c r="B65" s="26" t="s">
        <v>172</v>
      </c>
      <c r="C65" s="26" t="s">
        <v>1058</v>
      </c>
      <c r="D65" s="26" t="str">
        <f>C65</f>
        <v>P-101</v>
      </c>
      <c r="E65" s="27"/>
      <c r="F65" s="26" t="str">
        <f>C65</f>
        <v>P-101</v>
      </c>
      <c r="G65" s="26" t="s">
        <v>933</v>
      </c>
      <c r="H65" s="25">
        <f>H64</f>
        <v>0</v>
      </c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9"/>
      <c r="V65" s="29"/>
      <c r="W65" s="25"/>
      <c r="X65" s="29"/>
    </row>
    <row r="66" spans="1:24" s="35" customFormat="1" ht="25" x14ac:dyDescent="0.3">
      <c r="A66" s="31">
        <f t="shared" si="1"/>
        <v>63</v>
      </c>
      <c r="B66" s="32" t="s">
        <v>172</v>
      </c>
      <c r="C66" s="32" t="str">
        <f>_xlfn.CONCAT("01HS000",RIGHT(C65,1),"A")</f>
        <v>01HS0001A</v>
      </c>
      <c r="D66" s="32" t="str">
        <f>_xlfn.CONCAT("01-HS-000",RIGHT(D65,1),"A")</f>
        <v>01-HS-0001A</v>
      </c>
      <c r="E66" s="33" t="s">
        <v>1059</v>
      </c>
      <c r="F66" s="32" t="str">
        <f>F65</f>
        <v>P-101</v>
      </c>
      <c r="G66" s="32" t="str">
        <f>G65</f>
        <v>24E11-P1-PI-1004</v>
      </c>
      <c r="H66" s="31">
        <f t="shared" ref="H66:H70" si="3">H65</f>
        <v>0</v>
      </c>
      <c r="I66" s="31" t="s">
        <v>29</v>
      </c>
      <c r="J66" s="31" t="s">
        <v>31</v>
      </c>
      <c r="K66" s="31" t="s">
        <v>163</v>
      </c>
      <c r="L66" s="31" t="s">
        <v>242</v>
      </c>
      <c r="M66" s="31" t="s">
        <v>243</v>
      </c>
      <c r="N66" s="31"/>
      <c r="O66" s="31"/>
      <c r="P66" s="31"/>
      <c r="Q66" s="31"/>
      <c r="R66" s="31"/>
      <c r="S66" s="31"/>
      <c r="T66" s="31"/>
      <c r="U66" s="34"/>
      <c r="V66" s="34"/>
      <c r="W66" s="31"/>
      <c r="X66" s="34"/>
    </row>
    <row r="67" spans="1:24" s="35" customFormat="1" ht="25" x14ac:dyDescent="0.3">
      <c r="A67" s="31">
        <f t="shared" si="1"/>
        <v>64</v>
      </c>
      <c r="B67" s="32" t="s">
        <v>172</v>
      </c>
      <c r="C67" s="32" t="str">
        <f>_xlfn.CONCAT("01HS000",RIGHT(C65,1),"B")</f>
        <v>01HS0001B</v>
      </c>
      <c r="D67" s="32" t="str">
        <f>_xlfn.CONCAT("01-HS-000",RIGHT(D65,1),"B")</f>
        <v>01-HS-0001B</v>
      </c>
      <c r="E67" s="33" t="s">
        <v>1060</v>
      </c>
      <c r="F67" s="32" t="str">
        <f t="shared" ref="F67:G70" si="4">F66</f>
        <v>P-101</v>
      </c>
      <c r="G67" s="32" t="str">
        <f t="shared" si="4"/>
        <v>24E11-P1-PI-1004</v>
      </c>
      <c r="H67" s="31">
        <f t="shared" si="3"/>
        <v>0</v>
      </c>
      <c r="I67" s="31" t="s">
        <v>29</v>
      </c>
      <c r="J67" s="31" t="s">
        <v>31</v>
      </c>
      <c r="K67" s="31" t="s">
        <v>163</v>
      </c>
      <c r="L67" s="31" t="s">
        <v>1052</v>
      </c>
      <c r="M67" s="31" t="s">
        <v>1062</v>
      </c>
      <c r="N67" s="31"/>
      <c r="O67" s="31"/>
      <c r="P67" s="31"/>
      <c r="Q67" s="31"/>
      <c r="R67" s="31"/>
      <c r="S67" s="31"/>
      <c r="T67" s="31"/>
      <c r="U67" s="34"/>
      <c r="V67" s="34"/>
      <c r="W67" s="31"/>
      <c r="X67" s="34"/>
    </row>
    <row r="68" spans="1:24" s="35" customFormat="1" ht="25" x14ac:dyDescent="0.3">
      <c r="A68" s="31">
        <f t="shared" si="1"/>
        <v>65</v>
      </c>
      <c r="B68" s="32" t="s">
        <v>172</v>
      </c>
      <c r="C68" s="32" t="str">
        <f>_xlfn.CONCAT("01HS000",RIGHT(C65,1),"C")</f>
        <v>01HS0001C</v>
      </c>
      <c r="D68" s="32" t="str">
        <f>_xlfn.CONCAT("01-HS-000",RIGHT(D65,1),"C")</f>
        <v>01-HS-0001C</v>
      </c>
      <c r="E68" s="33" t="s">
        <v>1061</v>
      </c>
      <c r="F68" s="32" t="str">
        <f t="shared" si="4"/>
        <v>P-101</v>
      </c>
      <c r="G68" s="32" t="str">
        <f t="shared" si="4"/>
        <v>24E11-P1-PI-1004</v>
      </c>
      <c r="H68" s="31">
        <f t="shared" si="3"/>
        <v>0</v>
      </c>
      <c r="I68" s="31" t="s">
        <v>29</v>
      </c>
      <c r="J68" s="31" t="s">
        <v>31</v>
      </c>
      <c r="K68" s="31" t="s">
        <v>163</v>
      </c>
      <c r="L68" s="31" t="s">
        <v>1063</v>
      </c>
      <c r="M68" s="31" t="s">
        <v>1051</v>
      </c>
      <c r="N68" s="31"/>
      <c r="O68" s="31"/>
      <c r="P68" s="31"/>
      <c r="Q68" s="31"/>
      <c r="R68" s="31"/>
      <c r="S68" s="31"/>
      <c r="T68" s="31"/>
      <c r="U68" s="34"/>
      <c r="V68" s="34"/>
      <c r="W68" s="31"/>
      <c r="X68" s="34"/>
    </row>
    <row r="69" spans="1:24" s="35" customFormat="1" ht="25" x14ac:dyDescent="0.3">
      <c r="A69" s="31">
        <f t="shared" si="1"/>
        <v>66</v>
      </c>
      <c r="B69" s="32" t="s">
        <v>172</v>
      </c>
      <c r="C69" s="32" t="str">
        <f>_xlfn.CONCAT("01SC000",RIGHT(C65,1))</f>
        <v>01SC0001</v>
      </c>
      <c r="D69" s="32" t="str">
        <f>_xlfn.CONCAT("01-SC-000",RIGHT(D65,1))</f>
        <v>01-SC-0001</v>
      </c>
      <c r="E69" s="33" t="s">
        <v>1064</v>
      </c>
      <c r="F69" s="32" t="str">
        <f t="shared" si="4"/>
        <v>P-101</v>
      </c>
      <c r="G69" s="32" t="str">
        <f t="shared" si="4"/>
        <v>24E11-P1-PI-1004</v>
      </c>
      <c r="H69" s="31">
        <f t="shared" si="3"/>
        <v>0</v>
      </c>
      <c r="I69" s="31" t="s">
        <v>711</v>
      </c>
      <c r="J69" s="31" t="s">
        <v>30</v>
      </c>
      <c r="K69" s="31" t="s">
        <v>713</v>
      </c>
      <c r="L69" s="31" t="s">
        <v>163</v>
      </c>
      <c r="M69" s="31" t="s">
        <v>163</v>
      </c>
      <c r="N69" s="31"/>
      <c r="O69" s="31"/>
      <c r="P69" s="31"/>
      <c r="Q69" s="31"/>
      <c r="R69" s="31"/>
      <c r="S69" s="31"/>
      <c r="T69" s="31"/>
      <c r="U69" s="34"/>
      <c r="V69" s="34"/>
      <c r="W69" s="31"/>
      <c r="X69" s="34"/>
    </row>
    <row r="70" spans="1:24" s="35" customFormat="1" ht="25" x14ac:dyDescent="0.3">
      <c r="A70" s="31">
        <f t="shared" si="1"/>
        <v>67</v>
      </c>
      <c r="B70" s="32" t="s">
        <v>172</v>
      </c>
      <c r="C70" s="32" t="str">
        <f>_xlfn.CONCAT("01SI000",RIGHT(C65,1))</f>
        <v>01SI0001</v>
      </c>
      <c r="D70" s="32" t="str">
        <f>_xlfn.CONCAT("01-SC-000",RIGHT(D65,1))</f>
        <v>01-SC-0001</v>
      </c>
      <c r="E70" s="33" t="s">
        <v>1065</v>
      </c>
      <c r="F70" s="32" t="str">
        <f t="shared" si="4"/>
        <v>P-101</v>
      </c>
      <c r="G70" s="32" t="str">
        <f t="shared" si="4"/>
        <v>24E11-P1-PI-1004</v>
      </c>
      <c r="H70" s="31">
        <f t="shared" si="3"/>
        <v>0</v>
      </c>
      <c r="I70" s="31" t="s">
        <v>25</v>
      </c>
      <c r="J70" s="31" t="s">
        <v>30</v>
      </c>
      <c r="K70" s="31" t="s">
        <v>713</v>
      </c>
      <c r="L70" s="31" t="s">
        <v>163</v>
      </c>
      <c r="M70" s="31" t="s">
        <v>163</v>
      </c>
      <c r="N70" s="31"/>
      <c r="O70" s="31"/>
      <c r="P70" s="31"/>
      <c r="Q70" s="31"/>
      <c r="R70" s="31"/>
      <c r="S70" s="31"/>
      <c r="T70" s="31"/>
      <c r="U70" s="34"/>
      <c r="V70" s="34"/>
      <c r="W70" s="31"/>
      <c r="X70" s="34"/>
    </row>
    <row r="71" spans="1:24" s="30" customFormat="1" ht="25" x14ac:dyDescent="0.3">
      <c r="A71" s="25">
        <f t="shared" si="1"/>
        <v>68</v>
      </c>
      <c r="B71" s="26" t="s">
        <v>172</v>
      </c>
      <c r="C71" s="26" t="s">
        <v>1067</v>
      </c>
      <c r="D71" s="26" t="str">
        <f>C71</f>
        <v>P-501</v>
      </c>
      <c r="E71" s="27"/>
      <c r="F71" s="26" t="str">
        <f>C71</f>
        <v>P-501</v>
      </c>
      <c r="G71" s="26" t="s">
        <v>933</v>
      </c>
      <c r="H71" s="25">
        <f>H70</f>
        <v>0</v>
      </c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9"/>
      <c r="V71" s="29"/>
      <c r="W71" s="25"/>
      <c r="X71" s="29"/>
    </row>
    <row r="72" spans="1:24" s="35" customFormat="1" ht="25" x14ac:dyDescent="0.3">
      <c r="A72" s="31">
        <f t="shared" si="1"/>
        <v>69</v>
      </c>
      <c r="B72" s="32" t="s">
        <v>172</v>
      </c>
      <c r="C72" s="32" t="str">
        <f>_xlfn.CONCAT("01ZI000",RIGHT(C71,1))</f>
        <v>01ZI0001</v>
      </c>
      <c r="D72" s="32" t="str">
        <f>_xlfn.CONCAT("01-HS-000",RIGHT(D71,1),"A/B")</f>
        <v>01-HS-0001A/B</v>
      </c>
      <c r="E72" s="33" t="s">
        <v>1069</v>
      </c>
      <c r="F72" s="32" t="str">
        <f t="shared" ref="F72:G74" si="5">F71</f>
        <v>P-501</v>
      </c>
      <c r="G72" s="32" t="str">
        <f t="shared" si="5"/>
        <v>24E11-P1-PI-1004</v>
      </c>
      <c r="H72" s="31">
        <f t="shared" ref="H72:H74" si="6">H71</f>
        <v>0</v>
      </c>
      <c r="I72" s="31" t="s">
        <v>29</v>
      </c>
      <c r="J72" s="31" t="s">
        <v>31</v>
      </c>
      <c r="K72" s="31" t="s">
        <v>163</v>
      </c>
      <c r="L72" s="31" t="s">
        <v>163</v>
      </c>
      <c r="M72" s="31" t="s">
        <v>1051</v>
      </c>
      <c r="N72" s="31"/>
      <c r="O72" s="31"/>
      <c r="P72" s="31"/>
      <c r="Q72" s="31"/>
      <c r="R72" s="31"/>
      <c r="S72" s="31"/>
      <c r="T72" s="31"/>
      <c r="U72" s="34"/>
      <c r="V72" s="34"/>
      <c r="W72" s="31"/>
      <c r="X72" s="34"/>
    </row>
    <row r="73" spans="1:24" s="35" customFormat="1" ht="25" x14ac:dyDescent="0.3">
      <c r="A73" s="31">
        <f t="shared" si="1"/>
        <v>70</v>
      </c>
      <c r="B73" s="32" t="s">
        <v>172</v>
      </c>
      <c r="C73" s="32" t="str">
        <f>_xlfn.CONCAT("01ZI000",RIGHT(C71,1))</f>
        <v>01ZI0001</v>
      </c>
      <c r="D73" s="32" t="str">
        <f>D72</f>
        <v>01-HS-0001A/B</v>
      </c>
      <c r="E73" s="33" t="s">
        <v>1070</v>
      </c>
      <c r="F73" s="32" t="str">
        <f t="shared" si="5"/>
        <v>P-501</v>
      </c>
      <c r="G73" s="32" t="str">
        <f t="shared" si="5"/>
        <v>24E11-P1-PI-1004</v>
      </c>
      <c r="H73" s="31">
        <f t="shared" si="6"/>
        <v>0</v>
      </c>
      <c r="I73" s="31" t="s">
        <v>29</v>
      </c>
      <c r="J73" s="31" t="s">
        <v>31</v>
      </c>
      <c r="K73" s="31" t="s">
        <v>163</v>
      </c>
      <c r="L73" s="31" t="s">
        <v>163</v>
      </c>
      <c r="M73" s="31" t="s">
        <v>1073</v>
      </c>
      <c r="N73" s="31"/>
      <c r="O73" s="31"/>
      <c r="P73" s="31"/>
      <c r="Q73" s="31"/>
      <c r="R73" s="31"/>
      <c r="S73" s="31"/>
      <c r="T73" s="31"/>
      <c r="U73" s="34"/>
      <c r="V73" s="34"/>
      <c r="W73" s="31"/>
      <c r="X73" s="34"/>
    </row>
    <row r="74" spans="1:24" s="35" customFormat="1" ht="25" x14ac:dyDescent="0.3">
      <c r="A74" s="31">
        <f t="shared" si="1"/>
        <v>71</v>
      </c>
      <c r="B74" s="32" t="s">
        <v>172</v>
      </c>
      <c r="C74" s="32" t="str">
        <f>_xlfn.CONCAT("01ZI000",RIGHT(C71,1))</f>
        <v>01ZI0001</v>
      </c>
      <c r="D74" s="32" t="str">
        <f>D73</f>
        <v>01-HS-0001A/B</v>
      </c>
      <c r="E74" s="33" t="s">
        <v>1071</v>
      </c>
      <c r="F74" s="32" t="str">
        <f t="shared" si="5"/>
        <v>P-501</v>
      </c>
      <c r="G74" s="32" t="str">
        <f t="shared" si="5"/>
        <v>24E11-P1-PI-1004</v>
      </c>
      <c r="H74" s="31">
        <f t="shared" si="6"/>
        <v>0</v>
      </c>
      <c r="I74" s="31" t="s">
        <v>29</v>
      </c>
      <c r="J74" s="31" t="s">
        <v>31</v>
      </c>
      <c r="K74" s="31" t="s">
        <v>163</v>
      </c>
      <c r="L74" s="31" t="s">
        <v>163</v>
      </c>
      <c r="M74" s="31" t="s">
        <v>1074</v>
      </c>
      <c r="N74" s="31"/>
      <c r="O74" s="31"/>
      <c r="P74" s="31"/>
      <c r="Q74" s="31"/>
      <c r="R74" s="31"/>
      <c r="S74" s="31"/>
      <c r="T74" s="31"/>
      <c r="U74" s="34"/>
      <c r="V74" s="34"/>
      <c r="W74" s="31"/>
      <c r="X74" s="34"/>
    </row>
    <row r="75" spans="1:24" s="35" customFormat="1" ht="25" x14ac:dyDescent="0.3">
      <c r="A75" s="31">
        <f t="shared" si="1"/>
        <v>72</v>
      </c>
      <c r="B75" s="32" t="s">
        <v>172</v>
      </c>
      <c r="C75" s="32" t="str">
        <f>_xlfn.CONCAT("01ZI000",RIGHT(C71,1))</f>
        <v>01ZI0001</v>
      </c>
      <c r="D75" s="32" t="str">
        <f>_xlfn.CONCAT("01-HS-000",RIGHT(D71,1),"A/B")</f>
        <v>01-HS-0001A/B</v>
      </c>
      <c r="E75" s="33" t="s">
        <v>1072</v>
      </c>
      <c r="F75" s="32" t="str">
        <f>F72</f>
        <v>P-501</v>
      </c>
      <c r="G75" s="32" t="str">
        <f>G72</f>
        <v>24E11-P1-PI-1004</v>
      </c>
      <c r="H75" s="31">
        <f>H72</f>
        <v>0</v>
      </c>
      <c r="I75" s="31" t="s">
        <v>29</v>
      </c>
      <c r="J75" s="31" t="s">
        <v>31</v>
      </c>
      <c r="K75" s="31" t="s">
        <v>163</v>
      </c>
      <c r="L75" s="31" t="s">
        <v>245</v>
      </c>
      <c r="M75" s="31" t="s">
        <v>1063</v>
      </c>
      <c r="N75" s="31"/>
      <c r="O75" s="31"/>
      <c r="P75" s="31"/>
      <c r="Q75" s="31"/>
      <c r="R75" s="31"/>
      <c r="S75" s="31"/>
      <c r="T75" s="31"/>
      <c r="U75" s="34"/>
      <c r="V75" s="34"/>
      <c r="W75" s="31"/>
      <c r="X75" s="34"/>
    </row>
    <row r="76" spans="1:24" s="3" customFormat="1" x14ac:dyDescent="0.3">
      <c r="A76" s="1"/>
      <c r="B76" s="2"/>
      <c r="C76" s="2"/>
      <c r="F76" s="4"/>
      <c r="G76" s="2"/>
      <c r="H76" s="4"/>
      <c r="S76" s="4"/>
      <c r="T76" s="4"/>
      <c r="U76" s="4"/>
      <c r="W76" s="13"/>
    </row>
    <row r="77" spans="1:24" s="3" customFormat="1" x14ac:dyDescent="0.3">
      <c r="A77" s="1"/>
      <c r="B77" s="2"/>
      <c r="C77" s="2"/>
      <c r="F77" s="4"/>
      <c r="G77" s="2"/>
      <c r="H77" s="4"/>
      <c r="S77" s="4"/>
      <c r="T77" s="4"/>
      <c r="U77" s="4"/>
      <c r="W77" s="5"/>
    </row>
    <row r="78" spans="1:24" s="3" customFormat="1" x14ac:dyDescent="0.3">
      <c r="A78" s="1"/>
      <c r="B78" s="2"/>
      <c r="C78" s="2"/>
      <c r="F78" s="4"/>
      <c r="G78" s="2"/>
      <c r="H78" s="4"/>
      <c r="S78" s="4"/>
      <c r="T78" s="4"/>
      <c r="U78" s="4"/>
      <c r="W78" s="5"/>
    </row>
    <row r="79" spans="1:24" s="3" customFormat="1" x14ac:dyDescent="0.3">
      <c r="A79" s="1"/>
      <c r="B79" s="2"/>
      <c r="C79" s="2"/>
      <c r="F79" s="4"/>
      <c r="G79" s="2"/>
      <c r="H79" s="4"/>
      <c r="S79" s="4"/>
      <c r="T79" s="4"/>
      <c r="U79" s="4"/>
      <c r="W79" s="5"/>
    </row>
    <row r="80" spans="1:24" s="3" customFormat="1" x14ac:dyDescent="0.3">
      <c r="A80" s="1"/>
      <c r="B80" s="2"/>
      <c r="C80" s="2"/>
      <c r="F80" s="4"/>
      <c r="G80" s="2"/>
      <c r="H80" s="4"/>
      <c r="S80" s="4"/>
      <c r="T80" s="4"/>
      <c r="U80" s="4"/>
      <c r="W80" s="5"/>
    </row>
    <row r="81" spans="1:23" s="3" customFormat="1" x14ac:dyDescent="0.3">
      <c r="A81" s="1"/>
      <c r="B81" s="2"/>
      <c r="C81" s="2"/>
      <c r="F81" s="4"/>
      <c r="G81" s="2"/>
      <c r="H81" s="4"/>
      <c r="S81" s="4"/>
      <c r="T81" s="4"/>
      <c r="U81" s="4"/>
      <c r="W81" s="5"/>
    </row>
    <row r="82" spans="1:23" s="3" customFormat="1" x14ac:dyDescent="0.3">
      <c r="A82" s="1"/>
      <c r="B82" s="2"/>
      <c r="C82" s="2"/>
      <c r="F82" s="4"/>
      <c r="G82" s="2"/>
      <c r="H82" s="4"/>
      <c r="S82" s="4"/>
      <c r="T82" s="4"/>
      <c r="U82" s="4"/>
      <c r="W82" s="5"/>
    </row>
    <row r="83" spans="1:23" s="3" customFormat="1" x14ac:dyDescent="0.3">
      <c r="A83" s="1"/>
      <c r="B83" s="2"/>
      <c r="C83" s="2"/>
      <c r="F83" s="4"/>
      <c r="G83" s="2"/>
      <c r="H83" s="4"/>
      <c r="S83" s="4"/>
      <c r="T83" s="4"/>
      <c r="U83" s="4"/>
      <c r="W83" s="5"/>
    </row>
    <row r="84" spans="1:23" s="3" customFormat="1" x14ac:dyDescent="0.3">
      <c r="A84" s="1"/>
      <c r="B84" s="2"/>
      <c r="C84" s="2"/>
      <c r="F84" s="4"/>
      <c r="G84" s="2"/>
      <c r="H84" s="4"/>
      <c r="S84" s="4"/>
      <c r="T84" s="4"/>
      <c r="U84" s="4"/>
      <c r="W84" s="5"/>
    </row>
    <row r="85" spans="1:23" s="3" customFormat="1" x14ac:dyDescent="0.3">
      <c r="A85" s="1"/>
      <c r="B85" s="2"/>
      <c r="C85" s="2"/>
      <c r="F85" s="4"/>
      <c r="G85" s="2"/>
      <c r="H85" s="4"/>
      <c r="S85" s="4"/>
      <c r="T85" s="4"/>
      <c r="U85" s="4"/>
      <c r="W85" s="5"/>
    </row>
    <row r="86" spans="1:23" s="3" customFormat="1" x14ac:dyDescent="0.3">
      <c r="A86" s="1"/>
      <c r="B86" s="2"/>
      <c r="C86" s="2"/>
      <c r="F86" s="4"/>
      <c r="G86" s="2"/>
      <c r="H86" s="4"/>
      <c r="S86" s="4"/>
      <c r="T86" s="4"/>
      <c r="U86" s="4"/>
      <c r="W86" s="5"/>
    </row>
    <row r="87" spans="1:23" s="3" customFormat="1" x14ac:dyDescent="0.3">
      <c r="A87" s="1"/>
      <c r="B87" s="2"/>
      <c r="C87" s="2"/>
      <c r="F87" s="4"/>
      <c r="G87" s="2"/>
      <c r="H87" s="4"/>
      <c r="S87" s="4"/>
      <c r="T87" s="4"/>
      <c r="U87" s="4"/>
      <c r="W87" s="5"/>
    </row>
    <row r="88" spans="1:23" s="3" customFormat="1" x14ac:dyDescent="0.3">
      <c r="A88" s="1"/>
      <c r="B88" s="2"/>
      <c r="C88" s="2"/>
      <c r="F88" s="4"/>
      <c r="G88" s="2"/>
      <c r="H88" s="4"/>
      <c r="S88" s="4"/>
      <c r="T88" s="4"/>
      <c r="U88" s="4"/>
      <c r="W88" s="5"/>
    </row>
    <row r="89" spans="1:23" s="3" customFormat="1" x14ac:dyDescent="0.3">
      <c r="A89" s="1"/>
      <c r="B89" s="2"/>
      <c r="C89" s="2"/>
      <c r="F89" s="4"/>
      <c r="G89" s="2"/>
      <c r="H89" s="4"/>
      <c r="S89" s="4"/>
      <c r="T89" s="4"/>
      <c r="U89" s="4"/>
      <c r="W89" s="5"/>
    </row>
    <row r="90" spans="1:23" s="3" customFormat="1" x14ac:dyDescent="0.3">
      <c r="A90" s="1"/>
      <c r="B90" s="2"/>
      <c r="C90" s="2"/>
      <c r="F90" s="4"/>
      <c r="G90" s="2"/>
      <c r="H90" s="4"/>
      <c r="S90" s="4"/>
      <c r="T90" s="4"/>
      <c r="U90" s="4"/>
      <c r="W90" s="5"/>
    </row>
    <row r="91" spans="1:23" s="3" customFormat="1" x14ac:dyDescent="0.3">
      <c r="A91" s="1"/>
      <c r="B91" s="2"/>
      <c r="C91" s="2"/>
      <c r="F91" s="4"/>
      <c r="G91" s="2"/>
      <c r="H91" s="4"/>
      <c r="S91" s="4"/>
      <c r="T91" s="4"/>
      <c r="U91" s="4"/>
      <c r="W91" s="5"/>
    </row>
    <row r="92" spans="1:23" s="3" customFormat="1" x14ac:dyDescent="0.3">
      <c r="A92" s="1"/>
      <c r="B92" s="2"/>
      <c r="C92" s="2"/>
      <c r="F92" s="4"/>
      <c r="G92" s="2"/>
      <c r="H92" s="4"/>
      <c r="S92" s="4"/>
      <c r="T92" s="4"/>
      <c r="U92" s="4"/>
      <c r="W92" s="5"/>
    </row>
    <row r="93" spans="1:23" s="3" customFormat="1" x14ac:dyDescent="0.3">
      <c r="A93" s="1"/>
      <c r="B93" s="2"/>
      <c r="C93" s="2"/>
      <c r="F93" s="4"/>
      <c r="G93" s="2"/>
      <c r="H93" s="4"/>
      <c r="S93" s="4"/>
      <c r="T93" s="4"/>
      <c r="U93" s="4"/>
      <c r="W93" s="5"/>
    </row>
    <row r="94" spans="1:23" s="3" customFormat="1" x14ac:dyDescent="0.3">
      <c r="A94" s="1"/>
      <c r="B94" s="2"/>
      <c r="C94" s="2"/>
      <c r="F94" s="4"/>
      <c r="G94" s="2"/>
      <c r="H94" s="4"/>
      <c r="S94" s="4"/>
      <c r="T94" s="4"/>
      <c r="U94" s="4"/>
      <c r="W94" s="5"/>
    </row>
    <row r="95" spans="1:23" s="3" customFormat="1" x14ac:dyDescent="0.3">
      <c r="A95" s="1"/>
      <c r="B95" s="2"/>
      <c r="C95" s="2"/>
      <c r="F95" s="4"/>
      <c r="G95" s="2"/>
      <c r="H95" s="4"/>
      <c r="S95" s="4"/>
      <c r="T95" s="4"/>
      <c r="U95" s="4"/>
      <c r="W95" s="5"/>
    </row>
    <row r="96" spans="1:23" s="3" customFormat="1" x14ac:dyDescent="0.3">
      <c r="A96" s="1"/>
      <c r="B96" s="2"/>
      <c r="C96" s="2"/>
      <c r="F96" s="4"/>
      <c r="G96" s="2"/>
      <c r="H96" s="4"/>
      <c r="S96" s="4"/>
      <c r="T96" s="4"/>
      <c r="U96" s="4"/>
      <c r="W96" s="5"/>
    </row>
    <row r="97" spans="1:23" s="3" customFormat="1" x14ac:dyDescent="0.3">
      <c r="A97" s="1"/>
      <c r="B97" s="2"/>
      <c r="C97" s="2"/>
      <c r="F97" s="4"/>
      <c r="G97" s="2"/>
      <c r="H97" s="4"/>
      <c r="S97" s="4"/>
      <c r="T97" s="4"/>
      <c r="U97" s="4"/>
      <c r="W97" s="5"/>
    </row>
    <row r="98" spans="1:23" s="3" customFormat="1" x14ac:dyDescent="0.3">
      <c r="A98" s="1"/>
      <c r="B98" s="2"/>
      <c r="C98" s="2"/>
      <c r="F98" s="4"/>
      <c r="G98" s="2"/>
      <c r="H98" s="4"/>
      <c r="S98" s="4"/>
      <c r="T98" s="4"/>
      <c r="U98" s="4"/>
      <c r="W98" s="5"/>
    </row>
    <row r="99" spans="1:23" s="3" customFormat="1" x14ac:dyDescent="0.3">
      <c r="A99" s="1"/>
      <c r="B99" s="2"/>
      <c r="C99" s="2"/>
      <c r="F99" s="4"/>
      <c r="G99" s="2"/>
      <c r="H99" s="4"/>
      <c r="S99" s="4"/>
      <c r="T99" s="4"/>
      <c r="U99" s="4"/>
      <c r="W99" s="5"/>
    </row>
    <row r="100" spans="1:23" s="3" customFormat="1" x14ac:dyDescent="0.3">
      <c r="A100" s="1"/>
      <c r="B100" s="2"/>
      <c r="C100" s="2"/>
      <c r="F100" s="4"/>
      <c r="G100" s="2"/>
      <c r="H100" s="4"/>
      <c r="S100" s="4"/>
      <c r="T100" s="4"/>
      <c r="U100" s="4"/>
      <c r="W100" s="5"/>
    </row>
    <row r="101" spans="1:23" s="3" customFormat="1" x14ac:dyDescent="0.3">
      <c r="A101" s="1"/>
      <c r="B101" s="2"/>
      <c r="C101" s="2"/>
      <c r="F101" s="4"/>
      <c r="G101" s="2"/>
      <c r="H101" s="4"/>
      <c r="S101" s="4"/>
      <c r="T101" s="4"/>
      <c r="U101" s="4"/>
      <c r="W101" s="5"/>
    </row>
    <row r="102" spans="1:23" s="3" customFormat="1" x14ac:dyDescent="0.3">
      <c r="A102" s="1"/>
      <c r="B102" s="2"/>
      <c r="C102" s="2"/>
      <c r="F102" s="4"/>
      <c r="G102" s="2"/>
      <c r="H102" s="4"/>
      <c r="S102" s="4"/>
      <c r="T102" s="4"/>
      <c r="U102" s="4"/>
      <c r="W102" s="5"/>
    </row>
    <row r="103" spans="1:23" s="3" customFormat="1" x14ac:dyDescent="0.3">
      <c r="A103" s="1"/>
      <c r="B103" s="2"/>
      <c r="C103" s="2"/>
      <c r="F103" s="4"/>
      <c r="G103" s="2"/>
      <c r="H103" s="4"/>
      <c r="S103" s="4"/>
      <c r="T103" s="4"/>
      <c r="U103" s="4"/>
      <c r="W103" s="5"/>
    </row>
    <row r="104" spans="1:23" s="3" customFormat="1" x14ac:dyDescent="0.3">
      <c r="A104" s="1"/>
      <c r="B104" s="2"/>
      <c r="C104" s="2"/>
      <c r="F104" s="4"/>
      <c r="G104" s="2"/>
      <c r="H104" s="4"/>
      <c r="S104" s="4"/>
      <c r="T104" s="4"/>
      <c r="U104" s="4"/>
      <c r="W104" s="5"/>
    </row>
    <row r="105" spans="1:23" s="3" customFormat="1" x14ac:dyDescent="0.3">
      <c r="A105" s="1"/>
      <c r="B105" s="2"/>
      <c r="C105" s="2"/>
      <c r="F105" s="4"/>
      <c r="G105" s="2"/>
      <c r="H105" s="4"/>
      <c r="S105" s="4"/>
      <c r="T105" s="4"/>
      <c r="U105" s="4"/>
      <c r="W105" s="5"/>
    </row>
    <row r="106" spans="1:23" s="3" customFormat="1" x14ac:dyDescent="0.3">
      <c r="A106" s="1"/>
      <c r="B106" s="2"/>
      <c r="C106" s="2"/>
      <c r="F106" s="4"/>
      <c r="G106" s="2"/>
      <c r="H106" s="4"/>
      <c r="S106" s="4"/>
      <c r="T106" s="4"/>
      <c r="U106" s="4"/>
      <c r="W106" s="5"/>
    </row>
    <row r="107" spans="1:23" s="3" customFormat="1" x14ac:dyDescent="0.3">
      <c r="A107" s="1"/>
      <c r="B107" s="2"/>
      <c r="C107" s="2"/>
      <c r="F107" s="4"/>
      <c r="G107" s="2"/>
      <c r="H107" s="4"/>
      <c r="S107" s="4"/>
      <c r="T107" s="4"/>
      <c r="U107" s="4"/>
      <c r="W107" s="5"/>
    </row>
    <row r="108" spans="1:23" s="3" customFormat="1" x14ac:dyDescent="0.3">
      <c r="A108" s="1"/>
      <c r="B108" s="2"/>
      <c r="C108" s="2"/>
      <c r="F108" s="4"/>
      <c r="G108" s="2"/>
      <c r="H108" s="4"/>
      <c r="S108" s="4"/>
      <c r="T108" s="4"/>
      <c r="U108" s="4"/>
      <c r="W108" s="5"/>
    </row>
    <row r="109" spans="1:23" s="3" customFormat="1" x14ac:dyDescent="0.3">
      <c r="A109" s="1"/>
      <c r="B109" s="2"/>
      <c r="C109" s="2"/>
      <c r="F109" s="4"/>
      <c r="G109" s="2"/>
      <c r="H109" s="4"/>
      <c r="S109" s="4"/>
      <c r="T109" s="4"/>
      <c r="U109" s="4"/>
      <c r="W109" s="5"/>
    </row>
    <row r="110" spans="1:23" s="3" customFormat="1" x14ac:dyDescent="0.3">
      <c r="A110" s="1"/>
      <c r="B110" s="2"/>
      <c r="C110" s="2"/>
      <c r="F110" s="4"/>
      <c r="G110" s="2"/>
      <c r="H110" s="4"/>
      <c r="S110" s="4"/>
      <c r="T110" s="4"/>
      <c r="U110" s="4"/>
      <c r="W110" s="5"/>
    </row>
    <row r="111" spans="1:23" s="3" customFormat="1" x14ac:dyDescent="0.3">
      <c r="A111" s="1"/>
      <c r="B111" s="2"/>
      <c r="C111" s="2"/>
      <c r="F111" s="4"/>
      <c r="G111" s="2"/>
      <c r="H111" s="4"/>
      <c r="S111" s="4"/>
      <c r="T111" s="4"/>
      <c r="U111" s="4"/>
      <c r="W111" s="5"/>
    </row>
    <row r="112" spans="1:23" s="3" customFormat="1" x14ac:dyDescent="0.3">
      <c r="A112" s="1"/>
      <c r="B112" s="2"/>
      <c r="C112" s="2"/>
      <c r="F112" s="4"/>
      <c r="G112" s="2"/>
      <c r="H112" s="4"/>
      <c r="S112" s="4"/>
      <c r="T112" s="4"/>
      <c r="U112" s="4"/>
      <c r="W112" s="5"/>
    </row>
    <row r="113" spans="1:23" s="3" customFormat="1" x14ac:dyDescent="0.3">
      <c r="A113" s="1"/>
      <c r="B113" s="2"/>
      <c r="C113" s="2"/>
      <c r="F113" s="4"/>
      <c r="G113" s="2"/>
      <c r="H113" s="4"/>
      <c r="S113" s="4"/>
      <c r="T113" s="4"/>
      <c r="U113" s="4"/>
      <c r="W113" s="5"/>
    </row>
    <row r="114" spans="1:23" s="3" customFormat="1" x14ac:dyDescent="0.3">
      <c r="A114" s="1"/>
      <c r="B114" s="2"/>
      <c r="C114" s="2"/>
      <c r="F114" s="4"/>
      <c r="G114" s="2"/>
      <c r="H114" s="4"/>
      <c r="S114" s="4"/>
      <c r="T114" s="4"/>
      <c r="U114" s="4"/>
      <c r="W114" s="5"/>
    </row>
    <row r="115" spans="1:23" s="3" customFormat="1" x14ac:dyDescent="0.3">
      <c r="A115" s="1"/>
      <c r="B115" s="2"/>
      <c r="C115" s="2"/>
      <c r="F115" s="4"/>
      <c r="G115" s="2"/>
      <c r="H115" s="4"/>
      <c r="S115" s="4"/>
      <c r="T115" s="4"/>
      <c r="U115" s="4"/>
      <c r="W115" s="5"/>
    </row>
    <row r="116" spans="1:23" s="3" customFormat="1" x14ac:dyDescent="0.3">
      <c r="A116" s="1"/>
      <c r="B116" s="2"/>
      <c r="C116" s="2"/>
      <c r="F116" s="4"/>
      <c r="G116" s="2"/>
      <c r="H116" s="4"/>
      <c r="S116" s="4"/>
      <c r="T116" s="4"/>
      <c r="U116" s="4"/>
      <c r="W116" s="5"/>
    </row>
    <row r="117" spans="1:23" s="3" customFormat="1" x14ac:dyDescent="0.3">
      <c r="A117" s="1"/>
      <c r="B117" s="2"/>
      <c r="C117" s="2"/>
      <c r="F117" s="4"/>
      <c r="G117" s="2"/>
      <c r="H117" s="4"/>
      <c r="S117" s="4"/>
      <c r="T117" s="4"/>
      <c r="U117" s="4"/>
      <c r="W117" s="5"/>
    </row>
    <row r="118" spans="1:23" s="3" customFormat="1" x14ac:dyDescent="0.3">
      <c r="A118" s="1"/>
      <c r="B118" s="2"/>
      <c r="C118" s="2"/>
      <c r="F118" s="4"/>
      <c r="G118" s="2"/>
      <c r="H118" s="4"/>
      <c r="S118" s="4"/>
      <c r="T118" s="4"/>
      <c r="U118" s="4"/>
      <c r="W118" s="5"/>
    </row>
    <row r="119" spans="1:23" s="3" customFormat="1" x14ac:dyDescent="0.3">
      <c r="A119" s="1"/>
      <c r="B119" s="2"/>
      <c r="C119" s="2"/>
      <c r="F119" s="4"/>
      <c r="G119" s="4"/>
      <c r="H119" s="2"/>
      <c r="S119" s="4"/>
      <c r="T119" s="4"/>
      <c r="U119" s="4"/>
      <c r="W119" s="5"/>
    </row>
    <row r="120" spans="1:23" s="3" customFormat="1" x14ac:dyDescent="0.3">
      <c r="A120" s="1"/>
      <c r="B120" s="2"/>
      <c r="C120" s="2"/>
      <c r="F120" s="4"/>
      <c r="G120" s="4"/>
      <c r="H120" s="2"/>
      <c r="S120" s="4"/>
      <c r="T120" s="4"/>
      <c r="U120" s="4"/>
      <c r="W120" s="5"/>
    </row>
    <row r="121" spans="1:23" s="3" customFormat="1" x14ac:dyDescent="0.3">
      <c r="A121" s="1"/>
      <c r="B121" s="2"/>
      <c r="C121" s="2"/>
      <c r="F121" s="4"/>
      <c r="G121" s="4"/>
      <c r="H121" s="2"/>
      <c r="S121" s="4"/>
      <c r="T121" s="4"/>
      <c r="U121" s="4"/>
      <c r="W121" s="5"/>
    </row>
    <row r="122" spans="1:23" s="3" customFormat="1" x14ac:dyDescent="0.3">
      <c r="A122" s="1"/>
      <c r="B122" s="2"/>
      <c r="C122" s="2"/>
      <c r="F122" s="4"/>
      <c r="G122" s="4"/>
      <c r="H122" s="2"/>
      <c r="S122" s="4"/>
      <c r="T122" s="4"/>
      <c r="U122" s="4"/>
      <c r="W122" s="5"/>
    </row>
    <row r="123" spans="1:23" s="3" customFormat="1" x14ac:dyDescent="0.3">
      <c r="A123" s="1"/>
      <c r="B123" s="2"/>
      <c r="C123" s="2"/>
      <c r="F123" s="4"/>
      <c r="G123" s="4"/>
      <c r="H123" s="2"/>
      <c r="S123" s="4"/>
      <c r="T123" s="4"/>
      <c r="U123" s="4"/>
      <c r="W123" s="5"/>
    </row>
    <row r="124" spans="1:23" s="3" customFormat="1" x14ac:dyDescent="0.3">
      <c r="A124" s="1"/>
      <c r="B124" s="2"/>
      <c r="C124" s="2"/>
      <c r="F124" s="4"/>
      <c r="G124" s="4"/>
      <c r="H124" s="2"/>
      <c r="S124" s="4"/>
      <c r="T124" s="4"/>
      <c r="U124" s="4"/>
      <c r="W124" s="5"/>
    </row>
  </sheetData>
  <mergeCells count="20">
    <mergeCell ref="B1:B2"/>
    <mergeCell ref="C1:C2"/>
    <mergeCell ref="D1:D2"/>
    <mergeCell ref="E1:E2"/>
    <mergeCell ref="F1:F2"/>
    <mergeCell ref="W1:W2"/>
    <mergeCell ref="U1:U2"/>
    <mergeCell ref="V1:V2"/>
    <mergeCell ref="A3:D3"/>
    <mergeCell ref="M1:P1"/>
    <mergeCell ref="Q1:R1"/>
    <mergeCell ref="S1:S2"/>
    <mergeCell ref="T1:T2"/>
    <mergeCell ref="G1:G2"/>
    <mergeCell ref="H1:H2"/>
    <mergeCell ref="I1:I2"/>
    <mergeCell ref="J1:J2"/>
    <mergeCell ref="K1:K2"/>
    <mergeCell ref="L1:L2"/>
    <mergeCell ref="A1:A2"/>
  </mergeCells>
  <phoneticPr fontId="8" type="noConversion"/>
  <pageMargins left="0.70866141732283472" right="0.51181102362204722" top="0.55118110236220474" bottom="0.55118110236220474" header="0.31496062992125984" footer="0.31496062992125984"/>
  <pageSetup paperSize="8" scale="85" orientation="landscape" r:id="rId1"/>
  <headerFooter>
    <oddFooter>&amp;R&amp;10&amp;P OF &amp;N</oddFooter>
  </headerFooter>
  <rowBreaks count="1" manualBreakCount="1">
    <brk id="29" max="22" man="1"/>
  </rowBreaks>
  <colBreaks count="1" manualBreakCount="1"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F9C661A677284DBC0BFE437707BCE0" ma:contentTypeVersion="" ma:contentTypeDescription="Create a new document." ma:contentTypeScope="" ma:versionID="cef098fa2dc956c085acb01f76970a39">
  <xsd:schema xmlns:xsd="http://www.w3.org/2001/XMLSchema" xmlns:xs="http://www.w3.org/2001/XMLSchema" xmlns:p="http://schemas.microsoft.com/office/2006/metadata/properties" xmlns:ns2="328ae242-4cec-406d-b661-ef0e0deca72f" xmlns:ns3="EB8339D4-7BD0-45B0-BB85-AFD0A94EED59" xmlns:ns4="eb8339d4-7bd0-45b0-bb85-afd0a94eed59" targetNamespace="http://schemas.microsoft.com/office/2006/metadata/properties" ma:root="true" ma:fieldsID="d4380c5a72c7e87821f2c785f403d628" ns2:_="" ns3:_="" ns4:_="">
    <xsd:import namespace="328ae242-4cec-406d-b661-ef0e0deca72f"/>
    <xsd:import namespace="EB8339D4-7BD0-45B0-BB85-AFD0A94EED59"/>
    <xsd:import namespace="eb8339d4-7bd0-45b0-bb85-afd0a94eed59"/>
    <xsd:element name="properties">
      <xsd:complexType>
        <xsd:sequence>
          <xsd:element name="documentManagement">
            <xsd:complexType>
              <xsd:all>
                <xsd:element ref="ns2:Description0" minOccurs="0"/>
                <xsd:element ref="ns2:Document_x0020_Type" minOccurs="0"/>
                <xsd:element ref="ns2:Document_x0020_No" minOccurs="0"/>
                <xsd:element ref="ns2:Transmittal_x0020_No" minOccurs="0"/>
                <xsd:element ref="ns2:Statu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MediaServiceSearchProperties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ae242-4cec-406d-b661-ef0e0deca72f" elementFormDefault="qualified">
    <xsd:import namespace="http://schemas.microsoft.com/office/2006/documentManagement/types"/>
    <xsd:import namespace="http://schemas.microsoft.com/office/infopath/2007/PartnerControls"/>
    <xsd:element name="Description0" ma:index="2" nillable="true" ma:displayName="Description" ma:internalName="Description0">
      <xsd:simpleType>
        <xsd:restriction base="dms:Text">
          <xsd:maxLength value="255"/>
        </xsd:restriction>
      </xsd:simpleType>
    </xsd:element>
    <xsd:element name="Document_x0020_Type" ma:index="3" nillable="true" ma:displayName="Document Type" ma:format="Dropdown" ma:internalName="Document_x0020_Type">
      <xsd:simpleType>
        <xsd:restriction base="dms:Choice">
          <xsd:enumeration value="3M"/>
          <xsd:enumeration value="BE"/>
          <xsd:enumeration value="BG"/>
          <xsd:enumeration value="BM"/>
          <xsd:enumeration value="BP"/>
          <xsd:enumeration value="BR"/>
          <xsd:enumeration value="CA"/>
          <xsd:enumeration value="CF"/>
          <xsd:enumeration value="CH"/>
          <xsd:enumeration value="CN"/>
          <xsd:enumeration value="CO"/>
          <xsd:enumeration value="CP"/>
          <xsd:enumeration value="CR"/>
          <xsd:enumeration value="CT"/>
          <xsd:enumeration value="DI"/>
          <xsd:enumeration value="DP"/>
          <xsd:enumeration value="DS"/>
          <xsd:enumeration value="DW"/>
          <xsd:enumeration value="ED"/>
          <xsd:enumeration value="EL"/>
          <xsd:enumeration value="ES"/>
          <xsd:enumeration value="EX"/>
          <xsd:enumeration value="GA"/>
          <xsd:enumeration value="GS"/>
          <xsd:enumeration value="IM"/>
          <xsd:enumeration value="IR"/>
          <xsd:enumeration value="IS"/>
          <xsd:enumeration value="IV"/>
          <xsd:enumeration value="LA"/>
          <xsd:enumeration value="LI"/>
          <xsd:enumeration value="MC"/>
          <xsd:enumeration value="MH"/>
          <xsd:enumeration value="MN"/>
          <xsd:enumeration value="MP"/>
          <xsd:enumeration value="MR"/>
          <xsd:enumeration value="MS"/>
          <xsd:enumeration value="OR"/>
          <xsd:enumeration value="PE"/>
          <xsd:enumeration value="PF"/>
          <xsd:enumeration value="PH"/>
          <xsd:enumeration value="PI"/>
          <xsd:enumeration value="PL"/>
          <xsd:enumeration value="PN"/>
          <xsd:enumeration value="PO"/>
          <xsd:enumeration value="PP"/>
          <xsd:enumeration value="PR"/>
          <xsd:enumeration value="PS"/>
          <xsd:enumeration value="RC"/>
          <xsd:enumeration value="RE"/>
          <xsd:enumeration value="RP"/>
          <xsd:enumeration value="RQ"/>
          <xsd:enumeration value="RU"/>
          <xsd:enumeration value="SC"/>
          <xsd:enumeration value="SD"/>
          <xsd:enumeration value="SK"/>
          <xsd:enumeration value="SL"/>
          <xsd:enumeration value="SR"/>
          <xsd:enumeration value="TB"/>
          <xsd:enumeration value="TN"/>
          <xsd:enumeration value="TQ"/>
          <xsd:enumeration value="TR"/>
          <xsd:enumeration value="UF"/>
          <xsd:enumeration value="WD"/>
          <xsd:enumeration value="WP"/>
          <xsd:enumeration value="WS"/>
        </xsd:restriction>
      </xsd:simpleType>
    </xsd:element>
    <xsd:element name="Document_x0020_No" ma:index="4" nillable="true" ma:displayName="Document No" ma:internalName="Document_x0020_No">
      <xsd:simpleType>
        <xsd:restriction base="dms:Text">
          <xsd:maxLength value="255"/>
        </xsd:restriction>
      </xsd:simpleType>
    </xsd:element>
    <xsd:element name="Transmittal_x0020_No" ma:index="5" nillable="true" ma:displayName="Transmittal No" ma:internalName="Transmittal_x0020_No">
      <xsd:simpleType>
        <xsd:restriction base="dms:Text">
          <xsd:maxLength value="255"/>
        </xsd:restriction>
      </xsd:simpleType>
    </xsd:element>
    <xsd:element name="Status" ma:index="6" nillable="true" ma:displayName="Status" ma:format="Dropdown" ma:internalName="Status">
      <xsd:simpleType>
        <xsd:restriction base="dms:Choice">
          <xsd:enumeration value="As-Built"/>
          <xsd:enumeration value="Internal Review"/>
          <xsd:enumeration value="Issued for Approval"/>
          <xsd:enumeration value="Issued for Construction"/>
          <xsd:enumeration value="Issued for Construction with Hold"/>
          <xsd:enumeration value="Issued for Informat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339D4-7BD0-45B0-BB85-AFD0A94EE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339d4-7bd0-45b0-bb85-afd0a94eed59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328ae242-4cec-406d-b661-ef0e0deca72f">Issued for Approval</Status>
    <Document_x0020_Type xmlns="328ae242-4cec-406d-b661-ef0e0deca72f">LI</Document_x0020_Type>
    <Description0 xmlns="328ae242-4cec-406d-b661-ef0e0deca72f">DCS IO LIST</Description0>
    <Document_x0020_No xmlns="328ae242-4cec-406d-b661-ef0e0deca72f">22E20-C01-J0-LI-1002_O1</Document_x0020_No>
    <Transmittal_x0020_No xmlns="328ae242-4cec-406d-b661-ef0e0deca72f" xsi:nil="true"/>
  </documentManagement>
</p:properties>
</file>

<file path=customXml/itemProps1.xml><?xml version="1.0" encoding="utf-8"?>
<ds:datastoreItem xmlns:ds="http://schemas.openxmlformats.org/officeDocument/2006/customXml" ds:itemID="{87A78DB2-7AF2-442B-9520-1EF78A7330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F8531A-E24D-4E18-A34A-8646764B66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8ae242-4cec-406d-b661-ef0e0deca72f"/>
    <ds:schemaRef ds:uri="EB8339D4-7BD0-45B0-BB85-AFD0A94EED59"/>
    <ds:schemaRef ds:uri="eb8339d4-7bd0-45b0-bb85-afd0a94eed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6FECB7-597C-497D-B107-369FEA48372C}">
  <ds:schemaRefs>
    <ds:schemaRef ds:uri="http://schemas.microsoft.com/office/2006/metadata/properties"/>
    <ds:schemaRef ds:uri="http://schemas.microsoft.com/office/infopath/2007/PartnerControls"/>
    <ds:schemaRef ds:uri="328ae242-4cec-406d-b661-ef0e0deca7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18</vt:i4>
      </vt:variant>
    </vt:vector>
  </HeadingPairs>
  <TitlesOfParts>
    <vt:vector size="29" baseType="lpstr">
      <vt:lpstr>Cover-Page</vt:lpstr>
      <vt:lpstr>IO Summary</vt:lpstr>
      <vt:lpstr>TF</vt:lpstr>
      <vt:lpstr>PUMPS</vt:lpstr>
      <vt:lpstr>JETTY</vt:lpstr>
      <vt:lpstr>TLB</vt:lpstr>
      <vt:lpstr>FIRE F</vt:lpstr>
      <vt:lpstr>HOT WATER</vt:lpstr>
      <vt:lpstr>POTABLE WATER</vt:lpstr>
      <vt:lpstr>PLANT AIR</vt:lpstr>
      <vt:lpstr>TEMPLATE</vt:lpstr>
      <vt:lpstr>'FIRE F'!Print_Area</vt:lpstr>
      <vt:lpstr>'HOT WATER'!Print_Area</vt:lpstr>
      <vt:lpstr>JETTY!Print_Area</vt:lpstr>
      <vt:lpstr>'PLANT AIR'!Print_Area</vt:lpstr>
      <vt:lpstr>'POTABLE WATER'!Print_Area</vt:lpstr>
      <vt:lpstr>PUMPS!Print_Area</vt:lpstr>
      <vt:lpstr>TEMPLATE!Print_Area</vt:lpstr>
      <vt:lpstr>TF!Print_Area</vt:lpstr>
      <vt:lpstr>TLB!Print_Area</vt:lpstr>
      <vt:lpstr>'FIRE F'!Print_Titles</vt:lpstr>
      <vt:lpstr>'HOT WATER'!Print_Titles</vt:lpstr>
      <vt:lpstr>JETTY!Print_Titles</vt:lpstr>
      <vt:lpstr>'PLANT AIR'!Print_Titles</vt:lpstr>
      <vt:lpstr>'POTABLE WATER'!Print_Titles</vt:lpstr>
      <vt:lpstr>PUMPS!Print_Titles</vt:lpstr>
      <vt:lpstr>TEMPLATE!Print_Titles</vt:lpstr>
      <vt:lpstr>TF!Print_Titles</vt:lpstr>
      <vt:lpstr>TLB!Print_Titles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flower get</cp:lastModifiedBy>
  <cp:lastPrinted>2025-06-28T08:34:09Z</cp:lastPrinted>
  <dcterms:created xsi:type="dcterms:W3CDTF">2020-09-18T02:50:29Z</dcterms:created>
  <dcterms:modified xsi:type="dcterms:W3CDTF">2026-07-30T03:27:34Z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0x0101007AF9C661A677284DBC0BFE437707BCE0</vt:lpwstr>
  </property>
</Properties>
</file>